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ccounty-my.sharepoint.com/personal/dniemann_lccountymt_gov/Documents/Desktop/"/>
    </mc:Choice>
  </mc:AlternateContent>
  <xr:revisionPtr revIDLastSave="941" documentId="8_{8DC87642-47B2-48EE-BF25-540C1370C4DD}" xr6:coauthVersionLast="47" xr6:coauthVersionMax="47" xr10:uidLastSave="{1A346A9D-CE8E-4488-8112-72F52D508F12}"/>
  <bookViews>
    <workbookView xWindow="-28920" yWindow="-105" windowWidth="29040" windowHeight="15720" activeTab="1" xr2:uid="{00000000-000D-0000-FFFF-FFFF00000000}"/>
  </bookViews>
  <sheets>
    <sheet name="Instructions &amp; Options" sheetId="1" r:id="rId1"/>
    <sheet name="Dept X Workforce Assessment" sheetId="2" r:id="rId2"/>
    <sheet name="Vacancies Documentation" sheetId="3" r:id="rId3"/>
    <sheet name="Guidance FPHS AREAS" sheetId="4" r:id="rId4"/>
    <sheet name="Guidance FPHS CAPABILITIES" sheetId="5" r:id="rId5"/>
  </sheets>
  <definedNames>
    <definedName name="_GoBack" localSheetId="0">#REF!</definedName>
    <definedName name="_xlnm.Print_Area" localSheetId="0">'Instructions &amp; Options'!$A$3:$B$63</definedName>
    <definedName name="_xlnm.Print_Titles" localSheetId="1">'Dept X Workforce Assessment'!$A:$B</definedName>
    <definedName name="_xlnm.Print_Titles" localSheetId="3">'Guidance FPHS AREAS'!$3:$3</definedName>
    <definedName name="_xlnm.Print_Titles" localSheetId="4">'Guidance FPHS CAPABILITIES'!$3:$3</definedName>
    <definedName name="_xlnm.Print_Titles" localSheetId="2">'Vacancies Documentation'!$A:$B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50" i="2" l="1"/>
  <c r="AL49" i="2"/>
  <c r="U55" i="2"/>
  <c r="AD55" i="2"/>
  <c r="AE55" i="2" s="1"/>
  <c r="AL55" i="2"/>
  <c r="AV55" i="2"/>
  <c r="U16" i="2"/>
  <c r="U30" i="2"/>
  <c r="U31" i="2"/>
  <c r="U21" i="2"/>
  <c r="U49" i="2"/>
  <c r="U35" i="2"/>
  <c r="U47" i="2"/>
  <c r="U23" i="2"/>
  <c r="U40" i="2"/>
  <c r="U33" i="2"/>
  <c r="U43" i="2"/>
  <c r="U22" i="2"/>
  <c r="U32" i="2"/>
  <c r="U50" i="2"/>
  <c r="U48" i="2"/>
  <c r="U19" i="2"/>
  <c r="U24" i="2"/>
  <c r="U51" i="2"/>
  <c r="U12" i="2"/>
  <c r="U25" i="2"/>
  <c r="U18" i="2"/>
  <c r="U36" i="2"/>
  <c r="U34" i="2"/>
  <c r="U39" i="2"/>
  <c r="U26" i="2"/>
  <c r="U17" i="2"/>
  <c r="U52" i="2"/>
  <c r="U53" i="2"/>
  <c r="U54" i="2"/>
  <c r="U56" i="2"/>
  <c r="U57" i="2"/>
  <c r="U58" i="2"/>
  <c r="U59" i="2"/>
  <c r="U60" i="2"/>
  <c r="AD30" i="2"/>
  <c r="AD31" i="2"/>
  <c r="AD21" i="2"/>
  <c r="AD49" i="2"/>
  <c r="AD35" i="2"/>
  <c r="AD47" i="2"/>
  <c r="AD23" i="2"/>
  <c r="AD40" i="2"/>
  <c r="AE40" i="2" s="1"/>
  <c r="AD33" i="2"/>
  <c r="AE33" i="2" s="1"/>
  <c r="AD43" i="2"/>
  <c r="AD22" i="2"/>
  <c r="AD32" i="2"/>
  <c r="AD50" i="2"/>
  <c r="AD48" i="2"/>
  <c r="AD19" i="2"/>
  <c r="AD24" i="2"/>
  <c r="AD51" i="2"/>
  <c r="AD12" i="2"/>
  <c r="AD25" i="2"/>
  <c r="AD18" i="2"/>
  <c r="AD36" i="2"/>
  <c r="AE36" i="2" s="1"/>
  <c r="AD34" i="2"/>
  <c r="AD39" i="2"/>
  <c r="AD26" i="2"/>
  <c r="AD17" i="2"/>
  <c r="AD52" i="2"/>
  <c r="AD53" i="2"/>
  <c r="AD54" i="2"/>
  <c r="AD56" i="2"/>
  <c r="AD57" i="2"/>
  <c r="AD58" i="2"/>
  <c r="AD59" i="2"/>
  <c r="AD60" i="2"/>
  <c r="AL16" i="2"/>
  <c r="AL30" i="2"/>
  <c r="AL31" i="2"/>
  <c r="AL21" i="2"/>
  <c r="AL35" i="2"/>
  <c r="AL47" i="2"/>
  <c r="AL23" i="2"/>
  <c r="AL40" i="2"/>
  <c r="AL33" i="2"/>
  <c r="AL43" i="2"/>
  <c r="AL22" i="2"/>
  <c r="AL32" i="2"/>
  <c r="AL48" i="2"/>
  <c r="AL19" i="2"/>
  <c r="AL24" i="2"/>
  <c r="AL51" i="2"/>
  <c r="AL12" i="2"/>
  <c r="AL25" i="2"/>
  <c r="AL18" i="2"/>
  <c r="AL36" i="2"/>
  <c r="AL34" i="2"/>
  <c r="AL39" i="2"/>
  <c r="AL26" i="2"/>
  <c r="AL17" i="2"/>
  <c r="AL52" i="2"/>
  <c r="AL53" i="2"/>
  <c r="AL54" i="2"/>
  <c r="AL56" i="2"/>
  <c r="AL57" i="2"/>
  <c r="AL58" i="2"/>
  <c r="AL59" i="2"/>
  <c r="AL60" i="2"/>
  <c r="AV39" i="2"/>
  <c r="AV26" i="2"/>
  <c r="AV17" i="2"/>
  <c r="AV52" i="2"/>
  <c r="AV53" i="2"/>
  <c r="AV54" i="2"/>
  <c r="AV56" i="2"/>
  <c r="AV57" i="2"/>
  <c r="AV58" i="2"/>
  <c r="AV59" i="2"/>
  <c r="AV60" i="2"/>
  <c r="AV16" i="2"/>
  <c r="AV30" i="2"/>
  <c r="AV31" i="2"/>
  <c r="AV21" i="2"/>
  <c r="AV49" i="2"/>
  <c r="AV35" i="2"/>
  <c r="AV47" i="2"/>
  <c r="AV23" i="2"/>
  <c r="AV40" i="2"/>
  <c r="AV33" i="2"/>
  <c r="AV43" i="2"/>
  <c r="AV22" i="2"/>
  <c r="AV32" i="2"/>
  <c r="AV50" i="2"/>
  <c r="AV48" i="2"/>
  <c r="AV19" i="2"/>
  <c r="AV24" i="2"/>
  <c r="AV51" i="2"/>
  <c r="AV12" i="2"/>
  <c r="AV25" i="2"/>
  <c r="AV18" i="2"/>
  <c r="AV36" i="2"/>
  <c r="AV34" i="2"/>
  <c r="BA24" i="3"/>
  <c r="BA23" i="3"/>
  <c r="BA22" i="3"/>
  <c r="BA21" i="3"/>
  <c r="BA20" i="3"/>
  <c r="BA19" i="3"/>
  <c r="BA18" i="3"/>
  <c r="BA17" i="3"/>
  <c r="BA16" i="3"/>
  <c r="BA15" i="3"/>
  <c r="BA14" i="3"/>
  <c r="BA13" i="3"/>
  <c r="BA12" i="3"/>
  <c r="BA11" i="3"/>
  <c r="BA10" i="3"/>
  <c r="BA9" i="3"/>
  <c r="BA8" i="3"/>
  <c r="BA7" i="3"/>
  <c r="BA6" i="3"/>
  <c r="BA5" i="3"/>
  <c r="AV5" i="2"/>
  <c r="AV46" i="2"/>
  <c r="AV44" i="2"/>
  <c r="AV42" i="2"/>
  <c r="AV45" i="2"/>
  <c r="AV41" i="2"/>
  <c r="AV29" i="2"/>
  <c r="AV38" i="2"/>
  <c r="AV37" i="2"/>
  <c r="AV27" i="2"/>
  <c r="AV28" i="2"/>
  <c r="AV20" i="2"/>
  <c r="AV13" i="2"/>
  <c r="AV14" i="2"/>
  <c r="AV15" i="2"/>
  <c r="AV11" i="2"/>
  <c r="AV10" i="2"/>
  <c r="AV9" i="2"/>
  <c r="AV8" i="2"/>
  <c r="AV7" i="2"/>
  <c r="AV6" i="2"/>
  <c r="AQ5" i="3"/>
  <c r="AQ6" i="3"/>
  <c r="AQ7" i="3"/>
  <c r="AQ8" i="3"/>
  <c r="AQ9" i="3"/>
  <c r="AQ10" i="3"/>
  <c r="AQ11" i="3"/>
  <c r="AQ12" i="3"/>
  <c r="AQ13" i="3"/>
  <c r="AQ14" i="3"/>
  <c r="AQ15" i="3"/>
  <c r="AQ16" i="3"/>
  <c r="AQ17" i="3"/>
  <c r="AQ18" i="3"/>
  <c r="AQ19" i="3"/>
  <c r="AQ20" i="3"/>
  <c r="AQ21" i="3"/>
  <c r="AQ22" i="3"/>
  <c r="AQ23" i="3"/>
  <c r="AQ24" i="3"/>
  <c r="AL6" i="2"/>
  <c r="AL7" i="2"/>
  <c r="AL8" i="2"/>
  <c r="AL9" i="2"/>
  <c r="AL10" i="2"/>
  <c r="AL11" i="2"/>
  <c r="AL15" i="2"/>
  <c r="AL14" i="2"/>
  <c r="AL13" i="2"/>
  <c r="AL20" i="2"/>
  <c r="AL28" i="2"/>
  <c r="AL27" i="2"/>
  <c r="AL37" i="2"/>
  <c r="AL38" i="2"/>
  <c r="AL29" i="2"/>
  <c r="AL41" i="2"/>
  <c r="AL45" i="2"/>
  <c r="AL42" i="2"/>
  <c r="AL44" i="2"/>
  <c r="AL46" i="2"/>
  <c r="AL5" i="2"/>
  <c r="AI24" i="3"/>
  <c r="Z24" i="3"/>
  <c r="AI23" i="3"/>
  <c r="Z23" i="3"/>
  <c r="AI22" i="3"/>
  <c r="Z22" i="3"/>
  <c r="AI21" i="3"/>
  <c r="Z21" i="3"/>
  <c r="AI20" i="3"/>
  <c r="Z20" i="3"/>
  <c r="AI19" i="3"/>
  <c r="Z19" i="3"/>
  <c r="AJ19" i="3" s="1"/>
  <c r="AI18" i="3"/>
  <c r="Z18" i="3"/>
  <c r="AI17" i="3"/>
  <c r="Z17" i="3"/>
  <c r="AI16" i="3"/>
  <c r="Z16" i="3"/>
  <c r="AI15" i="3"/>
  <c r="Z15" i="3"/>
  <c r="AI14" i="3"/>
  <c r="Z14" i="3"/>
  <c r="AI13" i="3"/>
  <c r="Z13" i="3"/>
  <c r="AI12" i="3"/>
  <c r="Z12" i="3"/>
  <c r="AI11" i="3"/>
  <c r="Z11" i="3"/>
  <c r="AI10" i="3"/>
  <c r="Z10" i="3"/>
  <c r="AI9" i="3"/>
  <c r="Z9" i="3"/>
  <c r="AI8" i="3"/>
  <c r="Z8" i="3"/>
  <c r="AI7" i="3"/>
  <c r="Z7" i="3"/>
  <c r="AI6" i="3"/>
  <c r="Z6" i="3"/>
  <c r="AI5" i="3"/>
  <c r="Z5" i="3"/>
  <c r="AD16" i="2"/>
  <c r="AD46" i="2"/>
  <c r="U46" i="2"/>
  <c r="AD44" i="2"/>
  <c r="U44" i="2"/>
  <c r="AD42" i="2"/>
  <c r="U42" i="2"/>
  <c r="AD45" i="2"/>
  <c r="U45" i="2"/>
  <c r="AD41" i="2"/>
  <c r="U41" i="2"/>
  <c r="AD29" i="2"/>
  <c r="U29" i="2"/>
  <c r="AD38" i="2"/>
  <c r="U38" i="2"/>
  <c r="AD37" i="2"/>
  <c r="U37" i="2"/>
  <c r="AD27" i="2"/>
  <c r="U27" i="2"/>
  <c r="AD28" i="2"/>
  <c r="U28" i="2"/>
  <c r="AD20" i="2"/>
  <c r="U20" i="2"/>
  <c r="AD13" i="2"/>
  <c r="U13" i="2"/>
  <c r="AD14" i="2"/>
  <c r="U14" i="2"/>
  <c r="AD15" i="2"/>
  <c r="U15" i="2"/>
  <c r="AD11" i="2"/>
  <c r="U11" i="2"/>
  <c r="AD10" i="2"/>
  <c r="U10" i="2"/>
  <c r="AD9" i="2"/>
  <c r="U9" i="2"/>
  <c r="AD8" i="2"/>
  <c r="U8" i="2"/>
  <c r="AD7" i="2"/>
  <c r="U7" i="2"/>
  <c r="AD6" i="2"/>
  <c r="U6" i="2"/>
  <c r="AD5" i="2"/>
  <c r="U5" i="2"/>
  <c r="AE57" i="2" l="1"/>
  <c r="AE24" i="2"/>
  <c r="AE49" i="2"/>
  <c r="AE12" i="2"/>
  <c r="AE23" i="2"/>
  <c r="AE47" i="2"/>
  <c r="AE51" i="2"/>
  <c r="AE35" i="2"/>
  <c r="AE58" i="2"/>
  <c r="AE25" i="2"/>
  <c r="AE18" i="2"/>
  <c r="AE19" i="2"/>
  <c r="AE21" i="2"/>
  <c r="AE16" i="2"/>
  <c r="AE60" i="2"/>
  <c r="AE59" i="2"/>
  <c r="AE56" i="2"/>
  <c r="AE53" i="2"/>
  <c r="AE54" i="2"/>
  <c r="AE30" i="2"/>
  <c r="AE34" i="2"/>
  <c r="AE48" i="2"/>
  <c r="AE32" i="2"/>
  <c r="AE43" i="2"/>
  <c r="AE52" i="2"/>
  <c r="AE17" i="2"/>
  <c r="AE26" i="2"/>
  <c r="AE22" i="2"/>
  <c r="AE31" i="2"/>
  <c r="AE50" i="2"/>
  <c r="AE39" i="2"/>
  <c r="AJ15" i="3"/>
  <c r="AJ6" i="3"/>
  <c r="AJ24" i="3"/>
  <c r="AJ18" i="3"/>
  <c r="AJ23" i="3"/>
  <c r="AJ12" i="3"/>
  <c r="AE14" i="2"/>
  <c r="AJ7" i="3"/>
  <c r="AJ13" i="3"/>
  <c r="AJ8" i="3"/>
  <c r="AJ14" i="3"/>
  <c r="AJ20" i="3"/>
  <c r="AJ9" i="3"/>
  <c r="AJ21" i="3"/>
  <c r="AJ10" i="3"/>
  <c r="AJ16" i="3"/>
  <c r="AJ22" i="3"/>
  <c r="AJ5" i="3"/>
  <c r="AJ11" i="3"/>
  <c r="AJ17" i="3"/>
  <c r="AE8" i="2"/>
  <c r="AE5" i="2"/>
  <c r="AE29" i="2"/>
  <c r="AE10" i="2"/>
  <c r="AE28" i="2"/>
  <c r="AE9" i="2"/>
  <c r="AE11" i="2"/>
  <c r="AE27" i="2"/>
  <c r="AE37" i="2"/>
  <c r="AE42" i="2"/>
  <c r="AE15" i="2"/>
  <c r="AE41" i="2"/>
  <c r="AE44" i="2"/>
  <c r="AE13" i="2"/>
  <c r="AE45" i="2"/>
  <c r="AE38" i="2"/>
  <c r="AE6" i="2"/>
  <c r="AE20" i="2"/>
  <c r="AE46" i="2"/>
  <c r="AE7" i="2"/>
</calcChain>
</file>

<file path=xl/sharedStrings.xml><?xml version="1.0" encoding="utf-8"?>
<sst xmlns="http://schemas.openxmlformats.org/spreadsheetml/2006/main" count="547" uniqueCount="250">
  <si>
    <t>Full Name</t>
  </si>
  <si>
    <t>Administrative Support (clerical, office, support, etc.)</t>
  </si>
  <si>
    <t>Animal Control and Animal Bite Response Activities</t>
  </si>
  <si>
    <t>Childhood Immunizations</t>
  </si>
  <si>
    <t>Communications/Media/Public Relations</t>
  </si>
  <si>
    <t>Department Oversight/Management (highest leadership level)</t>
  </si>
  <si>
    <t>Emergency Preparedness (planning, response, equipment maintenance, etc.)</t>
  </si>
  <si>
    <t>Epidemiology/Epidemiologist Activities</t>
  </si>
  <si>
    <t>Finance-related functions (budgeting, payroll, approval of expenditures, disbursements)</t>
  </si>
  <si>
    <t>Grants Management/Grant Writing</t>
  </si>
  <si>
    <t>Health Education/Promotion/Training</t>
  </si>
  <si>
    <t>Informatics, Data Analysis, GIS</t>
  </si>
  <si>
    <t>Information Technology (IT) Support or Activities</t>
  </si>
  <si>
    <t>Laboratory Services</t>
  </si>
  <si>
    <t>Legal duties (court actions, enforcement of orders, etc.)</t>
  </si>
  <si>
    <t>Lodging/Hotel/Motel Permitting, Inspection &amp; Enforcement</t>
  </si>
  <si>
    <t>School Liaison, General Special Projects, etc.</t>
  </si>
  <si>
    <t>Substance Use Outreach/Syringe Services Programs/Harm Reduction</t>
  </si>
  <si>
    <t>Swimming Pool/Spa Permitting, Inspection &amp; Enforcement</t>
  </si>
  <si>
    <t>Vital Records (Birth, Death, Paternity, Name Changes, etc.)</t>
  </si>
  <si>
    <t>Woman, Infants &amp; Children (WIC) Clinics</t>
  </si>
  <si>
    <t xml:space="preserve">Foundational Public Health Services 
</t>
  </si>
  <si>
    <t>#</t>
  </si>
  <si>
    <t>Employee Job Title 
(as per organization)</t>
  </si>
  <si>
    <r>
      <rPr>
        <b/>
        <sz val="11"/>
        <color theme="1"/>
        <rFont val="Calibri"/>
        <family val="2"/>
      </rPr>
      <t xml:space="preserve">1a. Permanent </t>
    </r>
    <r>
      <rPr>
        <sz val="11"/>
        <color theme="1"/>
        <rFont val="Calibri"/>
        <family val="2"/>
      </rPr>
      <t>Staff Employed by LHD</t>
    </r>
  </si>
  <si>
    <r>
      <rPr>
        <b/>
        <sz val="11"/>
        <color theme="1"/>
        <rFont val="Calibri"/>
        <family val="2"/>
      </rPr>
      <t xml:space="preserve">1b. Temporary </t>
    </r>
    <r>
      <rPr>
        <sz val="11"/>
        <color theme="1"/>
        <rFont val="Calibri"/>
        <family val="2"/>
      </rPr>
      <t>Staff Employed by LHD</t>
    </r>
  </si>
  <si>
    <t>Is this a seasonal position?</t>
  </si>
  <si>
    <r>
      <rPr>
        <b/>
        <sz val="11"/>
        <color theme="1"/>
        <rFont val="Calibri"/>
        <family val="2"/>
      </rPr>
      <t>2b.</t>
    </r>
    <r>
      <rPr>
        <sz val="11"/>
        <color theme="1"/>
        <rFont val="Calibri"/>
        <family val="2"/>
      </rPr>
      <t xml:space="preserve"> Number of After-Hour on call hours worked </t>
    </r>
    <r>
      <rPr>
        <b/>
        <sz val="11"/>
        <color theme="1"/>
        <rFont val="Calibri"/>
        <family val="2"/>
      </rPr>
      <t>during an average, non-emergency response</t>
    </r>
    <r>
      <rPr>
        <sz val="11"/>
        <color theme="1"/>
        <rFont val="Calibri"/>
        <family val="2"/>
      </rPr>
      <t xml:space="preserve">  </t>
    </r>
    <r>
      <rPr>
        <b/>
        <sz val="11"/>
        <color rgb="FFFF0000"/>
        <rFont val="Calibri (Body)"/>
      </rPr>
      <t>MONTH</t>
    </r>
    <r>
      <rPr>
        <b/>
        <sz val="11"/>
        <color theme="1"/>
        <rFont val="Calibri"/>
        <family val="2"/>
      </rPr>
      <t xml:space="preserve"> </t>
    </r>
    <r>
      <rPr>
        <sz val="11"/>
        <color theme="1"/>
        <rFont val="Calibri"/>
        <family val="2"/>
      </rPr>
      <t>(whole number)</t>
    </r>
  </si>
  <si>
    <r>
      <rPr>
        <b/>
        <sz val="11"/>
        <color theme="1"/>
        <rFont val="Calibri"/>
        <family val="2"/>
      </rPr>
      <t xml:space="preserve">3a. Current Annual Salary  </t>
    </r>
    <r>
      <rPr>
        <sz val="10"/>
        <color theme="1"/>
        <rFont val="Calibri (Body)"/>
      </rPr>
      <t>(whole number)</t>
    </r>
  </si>
  <si>
    <r>
      <rPr>
        <b/>
        <sz val="11"/>
        <color theme="1"/>
        <rFont val="Calibri"/>
        <family val="2"/>
      </rPr>
      <t>3b. Hourly Rate</t>
    </r>
    <r>
      <rPr>
        <sz val="10"/>
        <color theme="1"/>
        <rFont val="Calibri (Body)"/>
      </rPr>
      <t xml:space="preserve"> (If applicable)</t>
    </r>
  </si>
  <si>
    <r>
      <rPr>
        <b/>
        <sz val="11"/>
        <color theme="1"/>
        <rFont val="Calibri"/>
        <family val="2"/>
      </rPr>
      <t>Total effort toward FPHS areas</t>
    </r>
    <r>
      <rPr>
        <i/>
        <sz val="11"/>
        <color theme="1"/>
        <rFont val="Calibri"/>
        <family val="2"/>
      </rPr>
      <t xml:space="preserve"> (max 100%)</t>
    </r>
  </si>
  <si>
    <r>
      <rPr>
        <b/>
        <sz val="10"/>
        <color theme="1"/>
        <rFont val="Calibri"/>
        <family val="2"/>
      </rPr>
      <t>Total effort toward FPHS</t>
    </r>
    <r>
      <rPr>
        <sz val="10"/>
        <color theme="1"/>
        <rFont val="Calibri"/>
        <family val="2"/>
      </rPr>
      <t xml:space="preserve">  </t>
    </r>
    <r>
      <rPr>
        <b/>
        <sz val="10"/>
        <color theme="1"/>
        <rFont val="Calibri"/>
        <family val="2"/>
      </rPr>
      <t>Capabilities</t>
    </r>
    <r>
      <rPr>
        <sz val="10"/>
        <color theme="1"/>
        <rFont val="Calibri"/>
        <family val="2"/>
      </rPr>
      <t xml:space="preserve"> (max 100%)</t>
    </r>
  </si>
  <si>
    <t>Notes to document special circumstances not captured by the assessment.</t>
  </si>
  <si>
    <t>Full Time (1=Yes; 0=No)</t>
  </si>
  <si>
    <t>Part Time  (1=Yes; 0=No)</t>
  </si>
  <si>
    <t>(1=Yes; 0=No)</t>
  </si>
  <si>
    <t xml:space="preserve">Communicable Disease Control </t>
  </si>
  <si>
    <t xml:space="preserve">Chronic Disease &amp; Injury </t>
  </si>
  <si>
    <t xml:space="preserve">Environmental Public Health </t>
  </si>
  <si>
    <t>Maternal, Child, &amp; Family Health</t>
  </si>
  <si>
    <t>Access to and Linkage with Clinical Care</t>
  </si>
  <si>
    <t>Assessment &amp; Surveillance (Data Analysis)</t>
  </si>
  <si>
    <t>Policy Development &amp; Support</t>
  </si>
  <si>
    <t>Community Partnership Development</t>
  </si>
  <si>
    <t>Accountability &amp; Performance Management</t>
  </si>
  <si>
    <t>Equity</t>
  </si>
  <si>
    <t>Emergency Preparedness &amp; Response</t>
  </si>
  <si>
    <t>Organizational Competencies</t>
  </si>
  <si>
    <t>Communi-
cations</t>
  </si>
  <si>
    <t>Most common activity/ role</t>
  </si>
  <si>
    <t>Percent effort toward that activity/ role</t>
  </si>
  <si>
    <t>Second most common activity/ role</t>
  </si>
  <si>
    <t>Third most common activity/ role</t>
  </si>
  <si>
    <t>Percent effort toward that activity/role</t>
  </si>
  <si>
    <r>
      <rPr>
        <b/>
        <sz val="10"/>
        <color theme="1"/>
        <rFont val="Calibri"/>
        <family val="2"/>
      </rPr>
      <t>Low end of range</t>
    </r>
    <r>
      <rPr>
        <sz val="10"/>
        <color theme="1"/>
        <rFont val="Calibri"/>
        <family val="2"/>
      </rPr>
      <t xml:space="preserve"> (whole numbers)</t>
    </r>
  </si>
  <si>
    <r>
      <rPr>
        <b/>
        <sz val="11"/>
        <color theme="1"/>
        <rFont val="Calibri"/>
        <family val="2"/>
      </rPr>
      <t>High end of range</t>
    </r>
    <r>
      <rPr>
        <sz val="11"/>
        <color theme="1"/>
        <rFont val="Calibri"/>
        <family val="2"/>
      </rPr>
      <t xml:space="preserve"> (whole numbers)</t>
    </r>
  </si>
  <si>
    <t xml:space="preserve"> </t>
  </si>
  <si>
    <t>CURRENT VACANCY TRACKING</t>
  </si>
  <si>
    <t xml:space="preserve">Foundational Public Health Services </t>
  </si>
  <si>
    <t xml:space="preserve">Local Health Department Name </t>
  </si>
  <si>
    <t>Notes</t>
  </si>
  <si>
    <t>Job Title of Vacancy
(as per organization)</t>
  </si>
  <si>
    <r>
      <rPr>
        <b/>
        <sz val="11"/>
        <color theme="1"/>
        <rFont val="Calibri"/>
        <family val="2"/>
      </rPr>
      <t xml:space="preserve">Vacancy location within Organization </t>
    </r>
    <r>
      <rPr>
        <i/>
        <sz val="11"/>
        <color theme="1"/>
        <rFont val="Calibri"/>
        <family val="2"/>
      </rPr>
      <t>(Division/Department Name or AW for 'Agency-wide')</t>
    </r>
  </si>
  <si>
    <r>
      <rPr>
        <b/>
        <sz val="10"/>
        <color theme="1"/>
        <rFont val="Calibri"/>
        <family val="2"/>
      </rPr>
      <t xml:space="preserve">0a. Please denote status of recruitment </t>
    </r>
    <r>
      <rPr>
        <i/>
        <sz val="10"/>
        <color rgb="FF0432FF"/>
        <rFont val="Calibri (Body)"/>
      </rPr>
      <t>(See drop down list)</t>
    </r>
  </si>
  <si>
    <r>
      <rPr>
        <b/>
        <sz val="10"/>
        <color theme="1"/>
        <rFont val="Calibri"/>
        <family val="2"/>
      </rPr>
      <t xml:space="preserve">0b. For vacancies in </t>
    </r>
    <r>
      <rPr>
        <b/>
        <i/>
        <u/>
        <sz val="10"/>
        <color theme="1"/>
        <rFont val="Calibri (Body)"/>
      </rPr>
      <t>active recruitment</t>
    </r>
    <r>
      <rPr>
        <b/>
        <sz val="10"/>
        <color theme="1"/>
        <rFont val="Calibri"/>
        <family val="2"/>
      </rPr>
      <t xml:space="preserve">, please denote how many </t>
    </r>
    <r>
      <rPr>
        <b/>
        <sz val="10"/>
        <color rgb="FF0432FF"/>
        <rFont val="Calibri (Body)"/>
      </rPr>
      <t>months</t>
    </r>
    <r>
      <rPr>
        <b/>
        <sz val="10"/>
        <color theme="1"/>
        <rFont val="Calibri"/>
        <family val="2"/>
      </rPr>
      <t xml:space="preserve"> this vacancy has been in recruitment</t>
    </r>
    <r>
      <rPr>
        <sz val="10"/>
        <color theme="1"/>
        <rFont val="Calibri"/>
        <family val="2"/>
      </rPr>
      <t xml:space="preserve"> (whole number)</t>
    </r>
  </si>
  <si>
    <r>
      <rPr>
        <b/>
        <sz val="10"/>
        <color theme="1"/>
        <rFont val="Calibri"/>
        <family val="2"/>
      </rPr>
      <t xml:space="preserve">1a. Indicate if the position will be </t>
    </r>
    <r>
      <rPr>
        <b/>
        <u/>
        <sz val="10"/>
        <color theme="1"/>
        <rFont val="Calibri (Body)"/>
      </rPr>
      <t>Permanent</t>
    </r>
    <r>
      <rPr>
        <b/>
        <sz val="10"/>
        <color theme="1"/>
        <rFont val="Calibri"/>
        <family val="2"/>
      </rPr>
      <t xml:space="preserve"> </t>
    </r>
    <r>
      <rPr>
        <sz val="10"/>
        <color theme="1"/>
        <rFont val="Calibri"/>
        <family val="2"/>
      </rPr>
      <t>Staff Employed by LHD</t>
    </r>
  </si>
  <si>
    <r>
      <rPr>
        <b/>
        <sz val="10"/>
        <color theme="1"/>
        <rFont val="Calibri"/>
        <family val="2"/>
      </rPr>
      <t xml:space="preserve">1b. Indicate if the position will be  </t>
    </r>
    <r>
      <rPr>
        <b/>
        <u/>
        <sz val="10"/>
        <color theme="1"/>
        <rFont val="Calibri (Body)"/>
      </rPr>
      <t>Temporary</t>
    </r>
    <r>
      <rPr>
        <b/>
        <sz val="10"/>
        <color theme="1"/>
        <rFont val="Calibri"/>
        <family val="2"/>
      </rPr>
      <t xml:space="preserve"> </t>
    </r>
    <r>
      <rPr>
        <sz val="10"/>
        <color theme="1"/>
        <rFont val="Calibri"/>
        <family val="2"/>
      </rPr>
      <t>Staff Employed by LHD</t>
    </r>
  </si>
  <si>
    <r>
      <rPr>
        <b/>
        <sz val="11"/>
        <color theme="1"/>
        <rFont val="Calibri"/>
        <family val="2"/>
      </rPr>
      <t>2a.</t>
    </r>
    <r>
      <rPr>
        <sz val="11"/>
        <color theme="1"/>
        <rFont val="Calibri"/>
        <family val="2"/>
      </rPr>
      <t xml:space="preserve"> Expected number of  Hours  per </t>
    </r>
    <r>
      <rPr>
        <b/>
        <sz val="11"/>
        <color theme="1"/>
        <rFont val="Calibri"/>
        <family val="2"/>
      </rPr>
      <t>WEEK during non-emergency response times</t>
    </r>
    <r>
      <rPr>
        <sz val="11"/>
        <color theme="1"/>
        <rFont val="Calibri"/>
        <family val="2"/>
      </rPr>
      <t xml:space="preserve"> (whole number)</t>
    </r>
  </si>
  <si>
    <r>
      <rPr>
        <b/>
        <sz val="11"/>
        <color theme="1"/>
        <rFont val="Calibri"/>
        <family val="2"/>
      </rPr>
      <t>2b.</t>
    </r>
    <r>
      <rPr>
        <sz val="11"/>
        <color theme="1"/>
        <rFont val="Calibri"/>
        <family val="2"/>
      </rPr>
      <t xml:space="preserve"> Expected number of After-Hour on call hours worked </t>
    </r>
    <r>
      <rPr>
        <b/>
        <sz val="11"/>
        <color theme="1"/>
        <rFont val="Calibri"/>
        <family val="2"/>
      </rPr>
      <t>during an average, non-emergency response</t>
    </r>
    <r>
      <rPr>
        <sz val="11"/>
        <color theme="1"/>
        <rFont val="Calibri"/>
        <family val="2"/>
      </rPr>
      <t xml:space="preserve">  </t>
    </r>
    <r>
      <rPr>
        <b/>
        <sz val="11"/>
        <color theme="1"/>
        <rFont val="Calibri"/>
        <family val="2"/>
      </rPr>
      <t xml:space="preserve">MONTH </t>
    </r>
    <r>
      <rPr>
        <sz val="11"/>
        <color theme="1"/>
        <rFont val="Calibri"/>
        <family val="2"/>
      </rPr>
      <t>(whole number)</t>
    </r>
  </si>
  <si>
    <r>
      <rPr>
        <b/>
        <sz val="11"/>
        <color theme="1"/>
        <rFont val="Calibri"/>
        <family val="2"/>
      </rPr>
      <t>3a. SALARY</t>
    </r>
    <r>
      <rPr>
        <sz val="11"/>
        <color theme="1"/>
        <rFont val="Calibri"/>
        <family val="2"/>
      </rPr>
      <t xml:space="preserve">
</t>
    </r>
    <r>
      <rPr>
        <i/>
        <sz val="11"/>
        <color theme="1"/>
        <rFont val="Calibri"/>
        <family val="2"/>
      </rPr>
      <t>If the position has starting salary range, note the low and high end of the range. If just one salary option, place it in the low end column</t>
    </r>
  </si>
  <si>
    <r>
      <rPr>
        <b/>
        <sz val="11"/>
        <color theme="1"/>
        <rFont val="Calibri"/>
        <family val="2"/>
      </rPr>
      <t>3b. Hourly Rate</t>
    </r>
    <r>
      <rPr>
        <sz val="11"/>
        <color theme="1"/>
        <rFont val="Calibri"/>
        <family val="2"/>
      </rPr>
      <t xml:space="preserve"> 
</t>
    </r>
    <r>
      <rPr>
        <i/>
        <sz val="11"/>
        <color theme="1"/>
        <rFont val="Calibri"/>
        <family val="2"/>
      </rPr>
      <t>If the position is hourly, note the rate</t>
    </r>
  </si>
  <si>
    <r>
      <rPr>
        <b/>
        <sz val="11"/>
        <color theme="1"/>
        <rFont val="Calibri"/>
        <family val="2"/>
      </rPr>
      <t>3c. What percentage of the salary for this position is funded by a grant?</t>
    </r>
    <r>
      <rPr>
        <sz val="11"/>
        <color theme="1"/>
        <rFont val="Calibri"/>
        <family val="2"/>
      </rPr>
      <t xml:space="preserve"> (Please enter a number less than 100)</t>
    </r>
  </si>
  <si>
    <r>
      <rPr>
        <b/>
        <sz val="10"/>
        <color theme="1"/>
        <rFont val="Calibri"/>
        <family val="2"/>
      </rPr>
      <t>Total effort toward FPHS areas</t>
    </r>
    <r>
      <rPr>
        <i/>
        <sz val="10"/>
        <color theme="1"/>
        <rFont val="Calibri"/>
        <family val="2"/>
      </rPr>
      <t xml:space="preserve"> (max 100%)</t>
    </r>
  </si>
  <si>
    <r>
      <rPr>
        <b/>
        <sz val="11"/>
        <color theme="1"/>
        <rFont val="Calibri"/>
        <family val="2"/>
      </rPr>
      <t>Total effort toward FPHS</t>
    </r>
    <r>
      <rPr>
        <sz val="11"/>
        <color theme="1"/>
        <rFont val="Calibri"/>
        <family val="2"/>
      </rPr>
      <t xml:space="preserve">  </t>
    </r>
    <r>
      <rPr>
        <b/>
        <sz val="11"/>
        <color theme="1"/>
        <rFont val="Calibri"/>
        <family val="2"/>
      </rPr>
      <t>Capabilities</t>
    </r>
    <r>
      <rPr>
        <sz val="11"/>
        <color theme="1"/>
        <rFont val="Calibri"/>
        <family val="2"/>
      </rPr>
      <t xml:space="preserve"> (max 100%)</t>
    </r>
  </si>
  <si>
    <t xml:space="preserve">Starting salary low end </t>
  </si>
  <si>
    <t>Starting salary high end</t>
  </si>
  <si>
    <t>Communicable Disease Prioritized Prevention Plan and Epidemiology. Identification of statewide and local communicable disease prevention, investigation, and control community partners and their capacities, develop and implement a prioritized prevention plan, and seek funding for high-priority initiatives. </t>
  </si>
  <si>
    <t>Chronic Disease Prioritized Prevention Plan. Identify statewide and local chronic disease prevention community partners and their capacities, develop and implement a prioritized prevention plan, and seek funding for high priority initiatives. </t>
  </si>
  <si>
    <t>Environmental Public Health Prioritized Improvement Plan. Identify statewide and local environmental public health community partners and their capacities, develop and implement a prioritized health protection and risk prevention plan, and seek funding for high-priority initiatives. </t>
  </si>
  <si>
    <t>Maternal, Child, and Family Health Services Prioritized Improvement Plan and Coordination. Identify statewide and local maternal, child, and family health community partners and their capacities, develop and implement a prioritized health protection and promotion plan, and seek funding for high-priority initiatives. </t>
  </si>
  <si>
    <t>Clinical Care Prioritized Access Plan. Identify statewide and local clinical care community partners and their capacities, develop and implement a clinical care prioritized access plan, and seek funding for high priority initiatives. </t>
  </si>
  <si>
    <t>Services and activities to promote immunization. </t>
  </si>
  <si>
    <t>Services and activities to promote prevention and control of major (i.e., the leading causes of death and disability in the US) non-communicable diseases and chronic illnesses. </t>
  </si>
  <si>
    <t>Services and activities to promote air and water quality and to prevent environmental hazards related to sewage, solid and hazardous waste (including at reated facilities and sites), and illness related to lead.</t>
  </si>
  <si>
    <t>Population-based services and activities to support maternal, child, and family health, including through child death review. </t>
  </si>
  <si>
    <t>Services and activities to determine individual eligibility for social services and subsidized clinical health care.</t>
  </si>
  <si>
    <t>Services and activities to promote prevention of and education regarding STD, including HIV. </t>
  </si>
  <si>
    <t>Healthy Eating, Active Living. Services and activities to increase statewide and community rates of healthy eating and active living, including though reduction in obesity rates. Services and activities to increase awareness of obesity and its causes.</t>
  </si>
  <si>
    <t>Services and activities to prevent zoonotic (vector-borne) illness. </t>
  </si>
  <si>
    <t>Assure newborn screening as mandated by a state or local governing body including wraparound services, reporting back, following up, and service engagement activities </t>
  </si>
  <si>
    <t>Inspect and license healthcare facilities, and license, monitor, and discipline healthcare providers, where applicable. </t>
  </si>
  <si>
    <t>Services and activities to promote prevention of, education regarding, and direct treatment of active and latent TB. </t>
  </si>
  <si>
    <t>Other Chronic Disease. Services and activities to promote prevention and control of other non-communicable diseases and chronic diseases. </t>
  </si>
  <si>
    <t>Food safety services and activities to conduct mandated environmental public health inspections and oversight to protect the public from foodborne hazards, in accordance with federal, state, and local laws and regulations. Services and activities to prevent illness related to fish and shellfish.</t>
  </si>
  <si>
    <t>Direct Maternal, Child, and Family Health Services. Services and activities to increase the awareness and capacity of available direct maternal, child, and family direct services. </t>
  </si>
  <si>
    <t>Clinical Care System Capacity Building. Services and activities to build capacity within the clinical healthcare system, including through workforce development programs (including loan forgiveness programs), clinical care quality monitoring, and support for clinical care initiatives.</t>
  </si>
  <si>
    <t>Services and activities to promote prevention and control of other communicable diseases. </t>
  </si>
  <si>
    <t xml:space="preserve">Identify statewide and local injury and violence prevention community partners and their capacities, develop and implement a prioritized prevention plan, and seek funding for high priority initiatives. Services and activities to promote prevention of injuries. </t>
  </si>
  <si>
    <t>Retail and Service Industry safety activities to conduct mandated environmental public health inspections and oversight to protect the public from retail and service industry hazards, in accordance with federal, state, and local laws and regulations.</t>
  </si>
  <si>
    <t>Family Planning services and activities to increase the awareness and capacity of available direct family planning services, including assuring the availability of those services. </t>
  </si>
  <si>
    <t>Other services and activities to improve access to and linkage with clinical care. </t>
  </si>
  <si>
    <t>Supplemental Nutrition services and activities to increase the awareness and capacity of supplemental nutrition programs, including but not limited to WIC, including providing care coordination and referrals for those eligible. </t>
  </si>
  <si>
    <t>Communications</t>
  </si>
  <si>
    <t>Data, Statistics, and Analysis: Acquiring, storing, retrieving, analyzing, and using health information across organizations to identify and understand patterns of health and disease in groups of people. </t>
  </si>
  <si>
    <t>Policy Development activities related to the development, implementation, and evaluation of public health policy in communities. </t>
  </si>
  <si>
    <t>Governmental Public Health Relations activities to coordinate governmental public health efforts at the state and local level through dialog, periodic meetings, and leadership provided by the agency. </t>
  </si>
  <si>
    <t>Accountability activities related to ensuring work is performed according to accepted business standards and in accordance with applicable policy, regulation, and standards. </t>
  </si>
  <si>
    <t>Developing strategy that specifically identifies and addresses systemic and structural barriers that have resulted in health inequities. </t>
  </si>
  <si>
    <t>Disaster and Emergency Preparedness planning, coordination, surveillance, training, infrastructure, and communication development of public health entities and those they coordinate, with the purpose of building capability to respond to natural or manmade disasters or emergencies; bioterrorism; infectious disease outbreaks; and other public health threats or emergencies. </t>
  </si>
  <si>
    <t>Leadership and Governance activities related to building consensus, with movement to action, and serving as the public face of governmental public health in the agency’s jurisdiction. </t>
  </si>
  <si>
    <t>General Communications services and activities relating to the ability to maintain ongoing relations with the public, partners, and local and statewide media. </t>
  </si>
  <si>
    <t>Community Health Assessment (CHA)/Community Health Improvement Program (CHIP) and/or State Health Assessment (SHA)/State Health Improvement Program (SHIP). Ability to conduct and/or participate in a community and statewide health assessment and identify health priorities arising from that assessment, including analysis of health disparities to develop community and state health improvement programs. </t>
  </si>
  <si>
    <t>Legislative and Constituent Relations and activities related to effectively informing and influencing policies related to the physical, environmental, social, and economic conditions affecting health but are beyond the immediate scope or authority of the governmental public health department. </t>
  </si>
  <si>
    <t>Community Relations activities related to creating, convening, and sustaining strategic, non-program specific relationships with key health-related organizations; community groups or organizations representing populations experiencing health disparities or inequities; private businesses and health care organizations; and relevant federal, tribal, state, and local government agencies and nonelected officials. </t>
  </si>
  <si>
    <t>Disaster and Emergency Response to natural or manmade disasters or emergencies; bioterrorism; infectious disease outbreaks; and other public health threats or emergencies. </t>
  </si>
  <si>
    <t>Information Technology Services, including Privacy and Security. Activities related to procuring and maintaining hardware and software needed to support the agency’s operations, including governmental public health activities, as well as communication technologies needed to interact with those served by the agency and the ability to maintain the privacy and security of agency data and information.</t>
  </si>
  <si>
    <t>Health Education and Risk Communication services and activities that encourage people to adopt and maintain a healthy lifestyle as well as advocate for social and environmental changes needed to facilitate healthful living conditions. </t>
  </si>
  <si>
    <t>Surveillance and Epidemiology: Monitor and investigate occurrences and control elements of significant health risks in the population. </t>
  </si>
  <si>
    <t>Community Preparedness, including Emergency Preparedness Training. Activities to prepare the community, and potential community responders, in the event of a natural or manmade disaster or emergency; bioterrorism; infectious disease outbreak; or other public health threat or emergency </t>
  </si>
  <si>
    <t>Human Resources Services. Activities related to developing and maintaining a competent workforce, including recruitment, retention, and succession planning; training; and performance review and accountability. </t>
  </si>
  <si>
    <t>Vital Records: Register and certify vital records including the transmittal of records to the appropriate state and federal agencies. </t>
  </si>
  <si>
    <t>Financial Management, Contract, and Procurement Services, including Facilities and Operations. Activities related to managing agency finances; contracts and procurement; and facilities and operations. </t>
  </si>
  <si>
    <t>Public Health Laboratory: Delivering  and/or accessing 24/7 laboratory resources including chemical and microscopic analysis of body tissue and fluids to identify disease-causing organisms and aid in the diagnosis and treatment of disease. </t>
  </si>
  <si>
    <t>Legal Services and Analysis. Activities related to operating in compliance with prevailing law and precedent. </t>
  </si>
  <si>
    <r>
      <t>Performance Management activit</t>
    </r>
    <r>
      <rPr>
        <sz val="10"/>
        <color rgb="FF008080"/>
        <rFont val="Calibri"/>
        <family val="2"/>
      </rPr>
      <t>i</t>
    </r>
    <r>
      <rPr>
        <sz val="10"/>
        <color theme="1"/>
        <rFont val="Calibri"/>
        <family val="2"/>
      </rPr>
      <t>es related to monitoring achievement of agency objectives, and quality improvement. </t>
    </r>
  </si>
  <si>
    <t>Division/Department within LHD: N/A</t>
  </si>
  <si>
    <r>
      <t>LHD Adminstrator (</t>
    </r>
    <r>
      <rPr>
        <b/>
        <sz val="11"/>
        <color theme="1"/>
        <rFont val="Calibri"/>
        <family val="2"/>
      </rPr>
      <t>example)</t>
    </r>
  </si>
  <si>
    <r>
      <t>Environmental Health Specialist (</t>
    </r>
    <r>
      <rPr>
        <b/>
        <sz val="11"/>
        <color theme="1"/>
        <rFont val="Calibri"/>
        <family val="2"/>
      </rPr>
      <t>example)</t>
    </r>
  </si>
  <si>
    <r>
      <t>Public Health Nurse (</t>
    </r>
    <r>
      <rPr>
        <b/>
        <sz val="11"/>
        <color theme="1"/>
        <rFont val="Calibri"/>
        <family val="2"/>
      </rPr>
      <t>example</t>
    </r>
    <r>
      <rPr>
        <sz val="11"/>
        <color theme="1"/>
        <rFont val="Calibri"/>
        <family val="2"/>
      </rPr>
      <t>)</t>
    </r>
  </si>
  <si>
    <r>
      <t>Support Staff/Admin. Assistant (</t>
    </r>
    <r>
      <rPr>
        <b/>
        <sz val="11"/>
        <color theme="1"/>
        <rFont val="Calibri"/>
        <family val="2"/>
      </rPr>
      <t>example</t>
    </r>
    <r>
      <rPr>
        <sz val="11"/>
        <color theme="1"/>
        <rFont val="Calibri"/>
        <family val="2"/>
      </rPr>
      <t>)</t>
    </r>
  </si>
  <si>
    <r>
      <rPr>
        <b/>
        <sz val="11"/>
        <color theme="1"/>
        <rFont val="Calibri"/>
        <family val="2"/>
      </rPr>
      <t>2a.</t>
    </r>
    <r>
      <rPr>
        <sz val="11"/>
        <color theme="1"/>
        <rFont val="Calibri"/>
        <family val="2"/>
      </rPr>
      <t xml:space="preserve"> Avg Number of  Total Hours worked per </t>
    </r>
    <r>
      <rPr>
        <b/>
        <sz val="11"/>
        <color rgb="FF0432FF"/>
        <rFont val="Calibri (Body)"/>
      </rPr>
      <t>WEEK</t>
    </r>
    <r>
      <rPr>
        <b/>
        <sz val="11"/>
        <color theme="1"/>
        <rFont val="Calibri"/>
        <family val="2"/>
      </rPr>
      <t xml:space="preserve"> during non-emergency response times</t>
    </r>
    <r>
      <rPr>
        <sz val="11"/>
        <color theme="1"/>
        <rFont val="Calibri"/>
        <family val="2"/>
      </rPr>
      <t xml:space="preserve"> (whole number)</t>
    </r>
  </si>
  <si>
    <t>Paid by LHD/ County (1=Yes; 0=No)</t>
  </si>
  <si>
    <t>Paid by another organization (1=Yes; 0=No)</t>
  </si>
  <si>
    <r>
      <rPr>
        <b/>
        <sz val="10"/>
        <color theme="1"/>
        <rFont val="Calibri"/>
        <family val="2"/>
      </rPr>
      <t xml:space="preserve">Total effort toards FPHS Areas AND Capabilities </t>
    </r>
    <r>
      <rPr>
        <sz val="10"/>
        <color theme="1"/>
        <rFont val="Calibri"/>
        <family val="2"/>
      </rPr>
      <t xml:space="preserve"> (max 100%)</t>
    </r>
  </si>
  <si>
    <t>Percent of grant funding for the employee</t>
  </si>
  <si>
    <t>Highest percent grant funding</t>
  </si>
  <si>
    <t>Second highest percent grant funding</t>
  </si>
  <si>
    <t>Third highest percent grant funding</t>
  </si>
  <si>
    <t>PHEP</t>
  </si>
  <si>
    <t>WIC</t>
  </si>
  <si>
    <t>MTUPP</t>
  </si>
  <si>
    <t xml:space="preserve">Immunization Action Plan </t>
  </si>
  <si>
    <t xml:space="preserve">Title X </t>
  </si>
  <si>
    <t>Montana Asthma Program</t>
  </si>
  <si>
    <t>Crisis Diversion</t>
  </si>
  <si>
    <r>
      <t>Total grant funding</t>
    </r>
    <r>
      <rPr>
        <sz val="10"/>
        <color theme="1"/>
        <rFont val="Calibri"/>
        <family val="2"/>
      </rPr>
      <t xml:space="preserve"> (max 100%)</t>
    </r>
  </si>
  <si>
    <t>Employee Functions (interviews, terminations, hiring, corrective actions, onboarding/HR)</t>
  </si>
  <si>
    <t>Food establishment permitting, Inspection &amp; Enforcement</t>
  </si>
  <si>
    <t>Maternal Child Health activities per task orders</t>
  </si>
  <si>
    <r>
      <t xml:space="preserve">For question 6 the following list of Activities/ Roles is available as a drop-down list to select from. Each employee is to select their three most common activities/roles and estimate the percent spent on each. </t>
    </r>
    <r>
      <rPr>
        <b/>
        <i/>
        <sz val="9"/>
        <color theme="1"/>
        <rFont val="Calibri"/>
        <family val="2"/>
      </rPr>
      <t>Percents do not have to add to 100%</t>
    </r>
    <r>
      <rPr>
        <b/>
        <sz val="9"/>
        <color theme="1"/>
        <rFont val="Calibri"/>
        <family val="2"/>
      </rPr>
      <t>, but cannot go above 100%.</t>
    </r>
  </si>
  <si>
    <t>For question 8b, the dropdown list for grant funds include:</t>
  </si>
  <si>
    <r>
      <rPr>
        <b/>
        <sz val="11"/>
        <color theme="1"/>
        <rFont val="Calibri"/>
        <family val="2"/>
      </rPr>
      <t>1d. Intern</t>
    </r>
    <r>
      <rPr>
        <sz val="11"/>
        <color theme="1"/>
        <rFont val="Calibri"/>
        <family val="2"/>
      </rPr>
      <t xml:space="preserve"> Paid and employed by LHD 
 (1=Yes; 0=No)</t>
    </r>
  </si>
  <si>
    <r>
      <rPr>
        <b/>
        <sz val="11"/>
        <color theme="1"/>
        <rFont val="Calibri"/>
        <family val="2"/>
      </rPr>
      <t>1e. Contractor</t>
    </r>
    <r>
      <rPr>
        <sz val="11"/>
        <color theme="1"/>
        <rFont val="Calibri"/>
        <family val="2"/>
      </rPr>
      <t xml:space="preserve"> </t>
    </r>
  </si>
  <si>
    <t>Office</t>
  </si>
  <si>
    <t>Remote</t>
  </si>
  <si>
    <t>1c. Is the employee in the office, hybrid (some office, some remote work), or fully remote</t>
  </si>
  <si>
    <t>1c. Is this position intended to work in the office, hybrid (some office, some remote work), or fully remote</t>
  </si>
  <si>
    <r>
      <rPr>
        <b/>
        <u/>
        <sz val="9"/>
        <color theme="1"/>
        <rFont val="Calibri (Body)"/>
      </rPr>
      <t>General Instructions:</t>
    </r>
    <r>
      <rPr>
        <sz val="9"/>
        <color theme="1"/>
        <rFont val="Calibri"/>
        <family val="2"/>
      </rPr>
      <t xml:space="preserve"> Thank you for participating in this workforce assessment. If you are a 'small' T/LHD without separate departments/divisions, the T/LHD administrator will complete the sheet "Dept X Workforce Assessment" and include all employees on that single sheet. The administrator or manager who completes the sheet should be able to answer these questions on their own, but can involve individual employees or HR if needed. If your T/LHD has separate departments(or divisions) with managers (or supervisors) for employees within that department, each manager should complete a seperate excel file with their own sheet for their department. Each of the individuals who report to them should be included in their file/sheet.  Please include all excel files in your submission of your workforce assessment. Every T/LHD employee should be included in the workforce assessment.  Question 7 asks for the starting salary (low end and high end) for that job type/title in your T/LHD. The administrator or supervisor should complete this information.</t>
    </r>
  </si>
  <si>
    <r>
      <rPr>
        <b/>
        <sz val="11"/>
        <color theme="1"/>
        <rFont val="Calibri"/>
        <family val="2"/>
      </rPr>
      <t xml:space="preserve">4a. For the Foundational </t>
    </r>
    <r>
      <rPr>
        <b/>
        <u/>
        <sz val="11"/>
        <color theme="9"/>
        <rFont val="Calibri (Body)"/>
      </rPr>
      <t>AREAS</t>
    </r>
    <r>
      <rPr>
        <b/>
        <sz val="11"/>
        <color theme="9"/>
        <rFont val="Calibri"/>
        <family val="2"/>
      </rPr>
      <t>,</t>
    </r>
    <r>
      <rPr>
        <b/>
        <sz val="11"/>
        <color theme="1"/>
        <rFont val="Calibri"/>
        <family val="2"/>
      </rPr>
      <t xml:space="preserve"> please indicate what % of your time is spent on any of the following during a routine week where 4 hours = 10% , 2 hours= 5%, and 1 hour= 2.5%.</t>
    </r>
    <r>
      <rPr>
        <b/>
        <sz val="11"/>
        <color rgb="FF0432FF"/>
        <rFont val="Calibri"/>
        <family val="2"/>
      </rPr>
      <t xml:space="preserve"> For activities that are </t>
    </r>
    <r>
      <rPr>
        <b/>
        <u/>
        <sz val="11"/>
        <color rgb="FF0432FF"/>
        <rFont val="Calibri (Body)"/>
      </rPr>
      <t>seasonal or do not occur regularly</t>
    </r>
    <r>
      <rPr>
        <b/>
        <sz val="11"/>
        <color rgb="FF0432FF"/>
        <rFont val="Calibri"/>
        <family val="2"/>
      </rPr>
      <t xml:space="preserve"> consider those over the whole year where 200 hours = 10%, 100 hours= 5%, and 50 hours= 2.5%. </t>
    </r>
    <r>
      <rPr>
        <i/>
        <sz val="11"/>
        <color theme="1"/>
        <rFont val="Calibri (Body)"/>
      </rPr>
      <t xml:space="preserve">NOTE: While 'Access' may overlap with another area, estimate time toward 'Access' if that is the expertise you are using regardless of the topic of the work. </t>
    </r>
    <r>
      <rPr>
        <i/>
        <sz val="11"/>
        <color rgb="FF0432FF"/>
        <rFont val="Calibri"/>
        <family val="2"/>
      </rPr>
      <t>Areas should not add up to more than 100% total per person.</t>
    </r>
  </si>
  <si>
    <r>
      <rPr>
        <b/>
        <sz val="11"/>
        <color theme="1"/>
        <rFont val="Calibri"/>
        <family val="2"/>
      </rPr>
      <t xml:space="preserve">4b. For the Foundational </t>
    </r>
    <r>
      <rPr>
        <b/>
        <u/>
        <sz val="11"/>
        <color rgb="FF7030A0"/>
        <rFont val="Calibri (Body)"/>
      </rPr>
      <t>CAPABILITIES</t>
    </r>
    <r>
      <rPr>
        <b/>
        <sz val="11"/>
        <color theme="1"/>
        <rFont val="Calibri"/>
        <family val="2"/>
      </rPr>
      <t xml:space="preserve">, please indicate what % of your time is spent on any of the following during a routine week where 4 hours = 10% , 2 hours = 5%, and 1 hour = 2.5%. </t>
    </r>
    <r>
      <rPr>
        <b/>
        <sz val="11"/>
        <color rgb="FF0432FF"/>
        <rFont val="Calibri (Body)"/>
      </rPr>
      <t xml:space="preserve">For activities that are </t>
    </r>
    <r>
      <rPr>
        <b/>
        <u/>
        <sz val="11"/>
        <color rgb="FF0432FF"/>
        <rFont val="Calibri (Body)"/>
      </rPr>
      <t xml:space="preserve">seasonal or do not occur regularly </t>
    </r>
    <r>
      <rPr>
        <b/>
        <sz val="11"/>
        <color rgb="FF0432FF"/>
        <rFont val="Calibri (Body)"/>
      </rPr>
      <t>consider those over the whole year where 200 hours = 10%, 100 hours= 5%, and 50 hours= 2.5%.</t>
    </r>
    <r>
      <rPr>
        <sz val="11"/>
        <color theme="1"/>
        <rFont val="Calibri"/>
        <family val="2"/>
      </rPr>
      <t xml:space="preserve">
</t>
    </r>
    <r>
      <rPr>
        <i/>
        <sz val="11"/>
        <color rgb="FF0432FF"/>
        <rFont val="Calibri"/>
        <family val="2"/>
      </rPr>
      <t xml:space="preserve">NOTE: Estimate time toward capabilities if that particular expertise is being used in your work. 
</t>
    </r>
    <r>
      <rPr>
        <sz val="11"/>
        <color rgb="FF0432FF"/>
        <rFont val="Calibri"/>
        <family val="2"/>
      </rPr>
      <t>C</t>
    </r>
    <r>
      <rPr>
        <i/>
        <sz val="11"/>
        <color rgb="FF0432FF"/>
        <rFont val="Calibri"/>
        <family val="2"/>
      </rPr>
      <t>apabilities should not add up to more than 100% total per person and likely WILL NOT add up to 100%.</t>
    </r>
  </si>
  <si>
    <r>
      <t xml:space="preserve">5. Select the TOP 3 Expected Activities and Average Percent of Time Expected Toward that Activity
</t>
    </r>
    <r>
      <rPr>
        <sz val="11"/>
        <color rgb="FF0432FF"/>
        <rFont val="Calibri (Body)"/>
      </rPr>
      <t xml:space="preserve">See Instructions tab for list of activities in drop down menu. </t>
    </r>
    <r>
      <rPr>
        <sz val="11"/>
        <color theme="1"/>
        <rFont val="Calibri"/>
        <family val="2"/>
      </rPr>
      <t xml:space="preserve">
</t>
    </r>
    <r>
      <rPr>
        <i/>
        <sz val="11"/>
        <color theme="1"/>
        <rFont val="Calibri"/>
        <family val="2"/>
      </rPr>
      <t>NOTE: Percent effort does not need to add up to 100%.</t>
    </r>
  </si>
  <si>
    <r>
      <t xml:space="preserve">6. Starting Salary for this position in your organization </t>
    </r>
    <r>
      <rPr>
        <i/>
        <sz val="11"/>
        <color theme="1"/>
        <rFont val="Calibri"/>
        <family val="2"/>
      </rPr>
      <t xml:space="preserve">(To be completed by Manager/ LHD Administrator) 
</t>
    </r>
    <r>
      <rPr>
        <sz val="10"/>
        <color rgb="FF0432FF"/>
        <rFont val="Calibri (Body)"/>
      </rPr>
      <t>If not a range, leave high end blank</t>
    </r>
  </si>
  <si>
    <r>
      <t xml:space="preserve">Guidance for 4a and 4b on the Foundational Public Health Services (FPHS): NOTE that these estimates are not LHD performance measures, but are meant to provide a sense of capacity toward the areas and capabilities and may be used toward filling gaps. Small LHDs may not have a lot of FTE time dedicated to FPHS capabilities. More information on the FPHS is available at the following website: </t>
    </r>
    <r>
      <rPr>
        <b/>
        <sz val="10"/>
        <color rgb="FF0070C0"/>
        <rFont val="Calibri"/>
        <family val="2"/>
      </rPr>
      <t>https://phaboard.org/center-for-innovation/public-health-frameworks/the-foundational-public-health-services/</t>
    </r>
    <r>
      <rPr>
        <b/>
        <sz val="10"/>
        <color theme="1"/>
        <rFont val="Calibri"/>
        <family val="2"/>
      </rPr>
      <t xml:space="preserve">
</t>
    </r>
    <r>
      <rPr>
        <sz val="10"/>
        <color theme="1"/>
        <rFont val="Calibri"/>
        <family val="2"/>
      </rPr>
      <t>One of the challenges of the FPHS assessment is the potential for overlaps between the areas and the capabilities; however, a key part of this assessment is using your best judgment in how to allocate time spent toward each. When trying to decide how to allocate percent effort, we encourage you to allocate FTE % effort based on the expertise being delivered. For example, a staff member might be responsible for risk communication related to environmental health zoonotic nuisances or threats. This work crosses both the AREA of Environmental Public Health and the CAPABILITY of Communications. If the staff member doing this work primarily has communications expertise, their time should be primarily allocated to Communications. If the staff member’s expertise is actually related to the environmental health nuisance or threat, their time should be allocated to Environmental Public Health. In some cases a staff member might be uniquely qualified to develop these risk communications, through a mix of Communications and Environmental Health expertise. If that is the case, split their time however makes sense. Remember, these estimates are not performance measures, but are being used to get a sense of capacity toward the areas and capabilities, so your best approximation of how to allocate time is fine.</t>
    </r>
  </si>
  <si>
    <r>
      <rPr>
        <b/>
        <sz val="10"/>
        <color theme="1"/>
        <rFont val="Calibri"/>
        <family val="2"/>
      </rPr>
      <t xml:space="preserve">4a. For the Foundational </t>
    </r>
    <r>
      <rPr>
        <b/>
        <u/>
        <sz val="10"/>
        <color theme="9"/>
        <rFont val="Calibri (Body)"/>
      </rPr>
      <t>AREAS</t>
    </r>
    <r>
      <rPr>
        <b/>
        <sz val="10"/>
        <color theme="9"/>
        <rFont val="Calibri"/>
        <family val="2"/>
      </rPr>
      <t>,</t>
    </r>
    <r>
      <rPr>
        <b/>
        <sz val="10"/>
        <color theme="1"/>
        <rFont val="Calibri"/>
        <family val="2"/>
      </rPr>
      <t xml:space="preserve"> please indicate what % of your time is spent on any of the following during a routine week where 4 hours= 10% , 2 hours= 5%, and 1 hour= 2.5%.</t>
    </r>
    <r>
      <rPr>
        <b/>
        <sz val="10"/>
        <color rgb="FF0432FF"/>
        <rFont val="Calibri"/>
        <family val="2"/>
      </rPr>
      <t xml:space="preserve"> For activities that are </t>
    </r>
    <r>
      <rPr>
        <b/>
        <u/>
        <sz val="10"/>
        <color rgb="FF0432FF"/>
        <rFont val="Calibri (Body)"/>
      </rPr>
      <t>seasonal or do not occur regularly</t>
    </r>
    <r>
      <rPr>
        <b/>
        <sz val="10"/>
        <color rgb="FF0432FF"/>
        <rFont val="Calibri"/>
        <family val="2"/>
      </rPr>
      <t xml:space="preserve"> consider those over the whole year where 200 hours = 10%, 100 hours= 5%, and 50 hours= 2.5%. </t>
    </r>
    <r>
      <rPr>
        <i/>
        <sz val="10"/>
        <color theme="1"/>
        <rFont val="Calibri (Body)"/>
      </rPr>
      <t xml:space="preserve">NOTE: While 'Access' may overlap with another area, estimate time toward 'Access' if that is the expertise you are using regardless of the topic of the work. </t>
    </r>
    <r>
      <rPr>
        <i/>
        <sz val="10"/>
        <color rgb="FF0432FF"/>
        <rFont val="Calibri"/>
        <family val="2"/>
      </rPr>
      <t>Areas should not add up to more than 100% total per person.</t>
    </r>
  </si>
  <si>
    <r>
      <rPr>
        <b/>
        <sz val="10"/>
        <color theme="1"/>
        <rFont val="Calibri"/>
        <family val="2"/>
      </rPr>
      <t xml:space="preserve">4b. For the Foundational </t>
    </r>
    <r>
      <rPr>
        <b/>
        <u/>
        <sz val="10"/>
        <color rgb="FF7030A0"/>
        <rFont val="Calibri (Body)"/>
      </rPr>
      <t>CAPABILITIES</t>
    </r>
    <r>
      <rPr>
        <b/>
        <sz val="10"/>
        <color theme="1"/>
        <rFont val="Calibri"/>
        <family val="2"/>
      </rPr>
      <t xml:space="preserve">, please indicate what % of your time is spent on any of the following during a routine week where 4 hours = 10% , 2 hours = 5%, and 1 hour = 2.5%. </t>
    </r>
    <r>
      <rPr>
        <b/>
        <sz val="10"/>
        <color rgb="FF0432FF"/>
        <rFont val="Calibri (Body)"/>
      </rPr>
      <t xml:space="preserve">For activities that are </t>
    </r>
    <r>
      <rPr>
        <b/>
        <u/>
        <sz val="10"/>
        <color rgb="FF0432FF"/>
        <rFont val="Calibri (Body)"/>
      </rPr>
      <t xml:space="preserve">seasonal or do not occur regularly </t>
    </r>
    <r>
      <rPr>
        <b/>
        <sz val="10"/>
        <color rgb="FF0432FF"/>
        <rFont val="Calibri (Body)"/>
      </rPr>
      <t xml:space="preserve">consider those over the whole year where 200 hours = 10%, 100 hours= 5%, and 50 hours= 2.5%. </t>
    </r>
    <r>
      <rPr>
        <i/>
        <sz val="10"/>
        <color rgb="FF0432FF"/>
        <rFont val="Calibri"/>
        <family val="2"/>
      </rPr>
      <t xml:space="preserve">NOTE: Estimate time toward capabilities if that particular expertise is being used in your work. 
</t>
    </r>
    <r>
      <rPr>
        <sz val="10"/>
        <color rgb="FF0432FF"/>
        <rFont val="Calibri"/>
        <family val="2"/>
      </rPr>
      <t>C</t>
    </r>
    <r>
      <rPr>
        <i/>
        <sz val="10"/>
        <color rgb="FF0432FF"/>
        <rFont val="Calibri"/>
        <family val="2"/>
      </rPr>
      <t>apabilities should not add up to more than 100% total per person and likely WILL NOT add up to 100%.</t>
    </r>
  </si>
  <si>
    <r>
      <rPr>
        <b/>
        <sz val="10"/>
        <color theme="1"/>
        <rFont val="Calibri"/>
        <family val="2"/>
      </rPr>
      <t xml:space="preserve">4a. For the Foundational </t>
    </r>
    <r>
      <rPr>
        <b/>
        <u/>
        <sz val="10"/>
        <color theme="9"/>
        <rFont val="Calibri (Body)"/>
      </rPr>
      <t>AREAS</t>
    </r>
    <r>
      <rPr>
        <b/>
        <sz val="10"/>
        <color theme="9"/>
        <rFont val="Calibri"/>
        <family val="2"/>
      </rPr>
      <t>,</t>
    </r>
    <r>
      <rPr>
        <b/>
        <sz val="10"/>
        <color theme="1"/>
        <rFont val="Calibri"/>
        <family val="2"/>
      </rPr>
      <t xml:space="preserve"> please indicate what % of your time is spent on any of the following during a routine week where 4 hours= 10% , 2 hours= 5%, and 1 hour= 2.5%.</t>
    </r>
    <r>
      <rPr>
        <b/>
        <sz val="10"/>
        <color rgb="FF0432FF"/>
        <rFont val="Calibri"/>
        <family val="2"/>
      </rPr>
      <t xml:space="preserve"> For activities that are </t>
    </r>
    <r>
      <rPr>
        <b/>
        <u/>
        <sz val="10"/>
        <color rgb="FF0432FF"/>
        <rFont val="Calibri (Body)"/>
      </rPr>
      <t xml:space="preserve">seasonal or do not occur regularly </t>
    </r>
    <r>
      <rPr>
        <b/>
        <sz val="10"/>
        <color rgb="FF0432FF"/>
        <rFont val="Calibri"/>
        <family val="2"/>
      </rPr>
      <t xml:space="preserve">consider those over the whole year where 200 hours = 10%, 100 hours= 5%, and 50 hours= 2.5%. </t>
    </r>
    <r>
      <rPr>
        <i/>
        <sz val="10"/>
        <color theme="1"/>
        <rFont val="Calibri (Body)"/>
      </rPr>
      <t xml:space="preserve">NOTE: While 'Access' may overlap with another area, estimate time toward 'Access' if that is the expertise you are using regardless of the topic of the work. </t>
    </r>
    <r>
      <rPr>
        <i/>
        <sz val="10"/>
        <color rgb="FF0432FF"/>
        <rFont val="Calibri"/>
        <family val="2"/>
      </rPr>
      <t>Areas should not add up to more than 100% total per person.</t>
    </r>
  </si>
  <si>
    <r>
      <rPr>
        <b/>
        <sz val="11"/>
        <color theme="1"/>
        <rFont val="Calibri"/>
        <family val="2"/>
      </rPr>
      <t xml:space="preserve">4b. For the Foundational </t>
    </r>
    <r>
      <rPr>
        <b/>
        <u/>
        <sz val="11"/>
        <color rgb="FF7030A0"/>
        <rFont val="Calibri (Body)"/>
      </rPr>
      <t>CAPABILITIES</t>
    </r>
    <r>
      <rPr>
        <b/>
        <sz val="11"/>
        <color theme="1"/>
        <rFont val="Calibri"/>
        <family val="2"/>
      </rPr>
      <t xml:space="preserve">, please indicate what % of your time is spent on any of the following during a routine week where 4 hours = 10% , 2 hours = 5%, and 1 hour = 2.5%. </t>
    </r>
    <r>
      <rPr>
        <b/>
        <sz val="11"/>
        <color rgb="FF0432FF"/>
        <rFont val="Calibri (Body)"/>
      </rPr>
      <t xml:space="preserve">For activities that are </t>
    </r>
    <r>
      <rPr>
        <b/>
        <u/>
        <sz val="11"/>
        <color rgb="FF0432FF"/>
        <rFont val="Calibri (Body)"/>
      </rPr>
      <t>seasonal or do not occur regularly</t>
    </r>
    <r>
      <rPr>
        <b/>
        <sz val="11"/>
        <color rgb="FF0432FF"/>
        <rFont val="Calibri (Body)"/>
      </rPr>
      <t xml:space="preserve"> consider those over the whole year where 200 hours = 10%, 100 hours= 5%, and 50 hours= 2.5%.</t>
    </r>
    <r>
      <rPr>
        <sz val="11"/>
        <color theme="1"/>
        <rFont val="Calibri"/>
        <family val="2"/>
      </rPr>
      <t xml:space="preserve">
</t>
    </r>
    <r>
      <rPr>
        <i/>
        <sz val="11"/>
        <color rgb="FF0432FF"/>
        <rFont val="Calibri"/>
        <family val="2"/>
      </rPr>
      <t xml:space="preserve">NOTE: Estimate time toward capabilities if that particular expertise is being used in your work. 
</t>
    </r>
    <r>
      <rPr>
        <sz val="11"/>
        <color rgb="FF0432FF"/>
        <rFont val="Calibri"/>
        <family val="2"/>
      </rPr>
      <t>C</t>
    </r>
    <r>
      <rPr>
        <i/>
        <sz val="11"/>
        <color rgb="FF0432FF"/>
        <rFont val="Calibri"/>
        <family val="2"/>
      </rPr>
      <t>apabilities should not add up to more than 100% total per person and likely WILL NOT add up to 100%.</t>
    </r>
  </si>
  <si>
    <r>
      <t xml:space="preserve">5. Select the TOP 3 Expected Activities/Roles and Average Percent of Time Expected Toward that Activity/ Role
</t>
    </r>
    <r>
      <rPr>
        <i/>
        <sz val="11"/>
        <color rgb="FF0432FF"/>
        <rFont val="Calibri (Body)"/>
      </rPr>
      <t>See Instructions tab for list of activities in drop down menu.</t>
    </r>
    <r>
      <rPr>
        <b/>
        <sz val="11"/>
        <color theme="1"/>
        <rFont val="Calibri"/>
        <family val="2"/>
      </rPr>
      <t xml:space="preserve"> 
</t>
    </r>
    <r>
      <rPr>
        <b/>
        <i/>
        <sz val="11"/>
        <color rgb="FF0432FF"/>
        <rFont val="Calibri (Body)"/>
      </rPr>
      <t>NOTE: Percent effort does not need to add up to 100%.</t>
    </r>
  </si>
  <si>
    <r>
      <t xml:space="preserve">7b. Select up to three grants that fund this position and percent of role that is grant funded. 
</t>
    </r>
    <r>
      <rPr>
        <sz val="11"/>
        <color rgb="FF0432FF"/>
        <rFont val="Calibri (Body)"/>
      </rPr>
      <t xml:space="preserve">See Instructions tab for list of activities in drop down menu. </t>
    </r>
    <r>
      <rPr>
        <sz val="11"/>
        <color theme="1"/>
        <rFont val="Calibri"/>
        <family val="2"/>
      </rPr>
      <t xml:space="preserve">
</t>
    </r>
    <r>
      <rPr>
        <i/>
        <sz val="11"/>
        <color theme="1"/>
        <rFont val="Calibri"/>
        <family val="2"/>
      </rPr>
      <t>NOTE: Percent effort does not need to add up to 100%.</t>
    </r>
  </si>
  <si>
    <r>
      <t>7a. What percentage of the salary for this position is funded by a grant(s)?</t>
    </r>
    <r>
      <rPr>
        <sz val="11"/>
        <color theme="1"/>
        <rFont val="Calibri"/>
        <family val="2"/>
      </rPr>
      <t xml:space="preserve"> (Please enter a number less than or equal to 100)</t>
    </r>
  </si>
  <si>
    <t>Other</t>
  </si>
  <si>
    <r>
      <t>Total effort towards Actvities/ Roles</t>
    </r>
    <r>
      <rPr>
        <sz val="10"/>
        <color theme="1"/>
        <rFont val="Calibri"/>
        <family val="2"/>
      </rPr>
      <t xml:space="preserve"> (max 100%)</t>
    </r>
  </si>
  <si>
    <t>Strengthening Public Health Workforce</t>
  </si>
  <si>
    <t>FICMR Teams, Child Fatality Reviews, Special Projects</t>
  </si>
  <si>
    <t>Healthy Montana Families/MIECHV</t>
  </si>
  <si>
    <t>MCH Block Grant</t>
  </si>
  <si>
    <t>Comp Cancer</t>
  </si>
  <si>
    <t>Ryan White/HIV</t>
  </si>
  <si>
    <r>
      <t>7a. What percentage of the salary for this position is funded by a grant(s)?</t>
    </r>
    <r>
      <rPr>
        <sz val="10"/>
        <color theme="1"/>
        <rFont val="Calibri"/>
        <family val="2"/>
      </rPr>
      <t xml:space="preserve"> (Please enter a number less than or equal to 100)</t>
    </r>
  </si>
  <si>
    <t>Air Quality monitoring, education, and enforcement activities</t>
  </si>
  <si>
    <t>Behavioral Health-related initiatives</t>
  </si>
  <si>
    <t>Childcare licensing, monitoring, and inspections</t>
  </si>
  <si>
    <t>Chronic Disease prevention and control</t>
  </si>
  <si>
    <t>Communicable Disease Control, Prevention, Case Management, Disease Intervention, Contract Tracing, exams, testing, and treatment</t>
  </si>
  <si>
    <t>Department/Division/Program Oversight and Management</t>
  </si>
  <si>
    <t>Environmental Health - Complaints and enforcement activities</t>
  </si>
  <si>
    <t>Environmental Health- Establishment Inspections (food, pool, public accomodations, body art)</t>
  </si>
  <si>
    <t>Environmental Health- Other</t>
  </si>
  <si>
    <t>Environmental Health- sewer, septic, well permitting</t>
  </si>
  <si>
    <t>Environmental Health- subdivision plan review</t>
  </si>
  <si>
    <t>Immunizations (adult, child, seasonal, travel)</t>
  </si>
  <si>
    <t>Maternal Child Health activities</t>
  </si>
  <si>
    <t>Montana Cancer Control Program activities</t>
  </si>
  <si>
    <t>Montana Tobacco Use Prevention Program activities</t>
  </si>
  <si>
    <t>School nursing</t>
  </si>
  <si>
    <t>Strategic Planning/Accreditation/Quality Improvement or similar</t>
  </si>
  <si>
    <t xml:space="preserve">Superfund-related activities </t>
  </si>
  <si>
    <t>Title X activities</t>
  </si>
  <si>
    <t>Water quality monitoring, education, and enforcement activities</t>
  </si>
  <si>
    <t>Workforce Support (workforce development, trainings, performance improvement)</t>
  </si>
  <si>
    <t>OTHER- not listed</t>
  </si>
  <si>
    <t>Local Health Department Name: Lewis and Clark County Health Department</t>
  </si>
  <si>
    <t>Health Officer</t>
  </si>
  <si>
    <t>Communication's Specialist</t>
  </si>
  <si>
    <t>Epidemiologist</t>
  </si>
  <si>
    <t>Finance Coordianator</t>
  </si>
  <si>
    <t>Prevention Program Supervisor</t>
  </si>
  <si>
    <t>Public Health Nurse</t>
  </si>
  <si>
    <t>Substance Misuse Prevention Coordinator</t>
  </si>
  <si>
    <t>Outreach Coordinator, Water Quality</t>
  </si>
  <si>
    <t>Environmental Health Specialist</t>
  </si>
  <si>
    <t>Water Quality Specialist</t>
  </si>
  <si>
    <t>Licensed Establishment Program Supervisor</t>
  </si>
  <si>
    <t>Environmental Administrative Assistant</t>
  </si>
  <si>
    <t>Suicide Prevention Coordinator</t>
  </si>
  <si>
    <t>Behavioral Health Systems Improvement Specialist</t>
  </si>
  <si>
    <t>HMF RN Case Manager, Nurse Family Partnership</t>
  </si>
  <si>
    <t>Public Health Nurse Supervisor</t>
  </si>
  <si>
    <t>HMF Case Manager, Parents as Teachers</t>
  </si>
  <si>
    <t>Water Quality Protection District Supervisor</t>
  </si>
  <si>
    <t>Tobacco Prevention Specialist</t>
  </si>
  <si>
    <t>Groundwater Hydrologist</t>
  </si>
  <si>
    <t>Home Visiting Community Health Worker</t>
  </si>
  <si>
    <t>Opioid Overdose Prevention and Safer Communities Montana Coordinator</t>
  </si>
  <si>
    <t>Child and Family Health Supervisor</t>
  </si>
  <si>
    <t>WIC Coordinator</t>
  </si>
  <si>
    <t>Registered Dietitian, WIC</t>
  </si>
  <si>
    <t>Billing Clerk</t>
  </si>
  <si>
    <t>Administrtive Support Supervisor</t>
  </si>
  <si>
    <t>Operations Manager</t>
  </si>
  <si>
    <t>Grants Specialist</t>
  </si>
  <si>
    <t>Health Educator - Cancer Control</t>
  </si>
  <si>
    <t>IZ/LE Administrative Support</t>
  </si>
  <si>
    <t>Enviornmental Health Specialist - LEAP</t>
  </si>
  <si>
    <t>Universal Home Visitor / Peer BF Coordinator</t>
  </si>
  <si>
    <t>Environmental Health Specialist (LE)</t>
  </si>
  <si>
    <t>Public Health Nurse (PRN)</t>
  </si>
  <si>
    <t>CONNECT Coordinator/Data support</t>
  </si>
  <si>
    <t>Environmental Health Supervisor</t>
  </si>
  <si>
    <t>Hybrid</t>
  </si>
  <si>
    <t>We have significant carry over from the large amounts given for IZ services in FY23 and 24. This carry over will be completely depleted by the end of FY26. Therefore in FY27, all 5 staff on the pulic health nursing team will be funded entirely by local tax dollars, with no grant support. Our IZ contract from DPHHS is now back to pre-covid levels (approx $20K)</t>
  </si>
  <si>
    <t>Superfund (EPA)</t>
  </si>
  <si>
    <t>I don't consider our coopertative agreement for Licesnsed Establishments a grant. They are fees collected from establishments and allocated to local health depts. ** Environmental Health Other in the list of activities is plan reviews.</t>
  </si>
  <si>
    <t>DEQ, Junk vehicle</t>
  </si>
  <si>
    <t>Universally Offered Home Visiting pilot grant</t>
  </si>
  <si>
    <t>Opioid, MPHI, SAMHSA, HRSA</t>
  </si>
  <si>
    <t>HRSA</t>
  </si>
  <si>
    <t>SAMHSA</t>
  </si>
  <si>
    <t>Bureau of Justice Assistance (federal)</t>
  </si>
  <si>
    <t>DEQ, Junk vehicle, EPA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</si>
</sst>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_([$$-409]* \(#,##0\);_([$$-409]* &quot;-&quot;??_);_(@_)"/>
    <numFmt numFmtId="165" formatCode="_([$$-409]* #,##0.00_);_([$$-409]* \(#,##0.00\);_([$$-409]* &quot;-&quot;??_);_(@_)"/>
  </numFmts>
  <fonts count="49">
    <font>
      <sz val="12"/>
      <color theme="1"/>
      <name val="Calibri"/>
      <scheme val="minor"/>
    </font>
    <font>
      <sz val="9"/>
      <color theme="1"/>
      <name val="Calibri"/>
      <family val="2"/>
    </font>
    <font>
      <sz val="12"/>
      <name val="Calibri"/>
      <family val="2"/>
    </font>
    <font>
      <b/>
      <sz val="9"/>
      <color theme="1"/>
      <name val="Calibri"/>
      <family val="2"/>
    </font>
    <font>
      <b/>
      <sz val="11"/>
      <color theme="1"/>
      <name val="Calibri"/>
      <family val="2"/>
    </font>
    <font>
      <sz val="12"/>
      <color theme="1"/>
      <name val="Calibri"/>
      <family val="2"/>
      <scheme val="minor"/>
    </font>
    <font>
      <sz val="11"/>
      <color theme="1"/>
      <name val="Calibri"/>
      <family val="2"/>
    </font>
    <font>
      <b/>
      <sz val="10"/>
      <color theme="1"/>
      <name val="Calibri"/>
      <family val="2"/>
    </font>
    <font>
      <sz val="10"/>
      <color theme="1"/>
      <name val="Calibri"/>
      <family val="2"/>
    </font>
    <font>
      <b/>
      <u/>
      <sz val="9"/>
      <color theme="1"/>
      <name val="Calibri (Body)"/>
    </font>
    <font>
      <b/>
      <i/>
      <sz val="9"/>
      <color theme="1"/>
      <name val="Calibri"/>
      <family val="2"/>
    </font>
    <font>
      <i/>
      <sz val="10"/>
      <color rgb="FF0432FF"/>
      <name val="Calibri (Body)"/>
    </font>
    <font>
      <b/>
      <sz val="11"/>
      <color rgb="FF0432FF"/>
      <name val="Calibri (Body)"/>
    </font>
    <font>
      <b/>
      <sz val="11"/>
      <color rgb="FFFF0000"/>
      <name val="Calibri (Body)"/>
    </font>
    <font>
      <i/>
      <sz val="11"/>
      <color theme="1"/>
      <name val="Calibri"/>
      <family val="2"/>
    </font>
    <font>
      <sz val="10"/>
      <color theme="1"/>
      <name val="Calibri (Body)"/>
    </font>
    <font>
      <i/>
      <sz val="11"/>
      <color rgb="FF0432FF"/>
      <name val="Calibri (Body)"/>
    </font>
    <font>
      <b/>
      <u/>
      <sz val="10"/>
      <color theme="1"/>
      <name val="Calibri (Body)"/>
    </font>
    <font>
      <b/>
      <u/>
      <sz val="11"/>
      <color theme="9"/>
      <name val="Calibri (Body)"/>
    </font>
    <font>
      <b/>
      <sz val="11"/>
      <color theme="9"/>
      <name val="Calibri"/>
      <family val="2"/>
    </font>
    <font>
      <b/>
      <sz val="11"/>
      <color rgb="FF0432FF"/>
      <name val="Calibri"/>
      <family val="2"/>
    </font>
    <font>
      <b/>
      <u/>
      <sz val="11"/>
      <color rgb="FF0432FF"/>
      <name val="Calibri (Body)"/>
    </font>
    <font>
      <i/>
      <sz val="11"/>
      <color theme="1"/>
      <name val="Calibri (Body)"/>
    </font>
    <font>
      <i/>
      <sz val="11"/>
      <color rgb="FF0432FF"/>
      <name val="Calibri"/>
      <family val="2"/>
    </font>
    <font>
      <b/>
      <u/>
      <sz val="11"/>
      <color rgb="FF7030A0"/>
      <name val="Calibri (Body)"/>
    </font>
    <font>
      <sz val="11"/>
      <color rgb="FF0432FF"/>
      <name val="Calibri"/>
      <family val="2"/>
    </font>
    <font>
      <sz val="11"/>
      <color rgb="FF0432FF"/>
      <name val="Calibri (Body)"/>
    </font>
    <font>
      <b/>
      <i/>
      <sz val="11"/>
      <color rgb="FF0432FF"/>
      <name val="Calibri (Body)"/>
    </font>
    <font>
      <b/>
      <i/>
      <u/>
      <sz val="10"/>
      <color theme="1"/>
      <name val="Calibri (Body)"/>
    </font>
    <font>
      <b/>
      <sz val="10"/>
      <color rgb="FF0432FF"/>
      <name val="Calibri (Body)"/>
    </font>
    <font>
      <b/>
      <u/>
      <sz val="10"/>
      <color theme="9"/>
      <name val="Calibri (Body)"/>
    </font>
    <font>
      <b/>
      <sz val="10"/>
      <color theme="9"/>
      <name val="Calibri"/>
      <family val="2"/>
    </font>
    <font>
      <b/>
      <sz val="10"/>
      <color rgb="FF0432FF"/>
      <name val="Calibri"/>
      <family val="2"/>
    </font>
    <font>
      <b/>
      <u/>
      <sz val="10"/>
      <color rgb="FF0432FF"/>
      <name val="Calibri (Body)"/>
    </font>
    <font>
      <i/>
      <sz val="10"/>
      <color theme="1"/>
      <name val="Calibri (Body)"/>
    </font>
    <font>
      <i/>
      <sz val="10"/>
      <color rgb="FF0432FF"/>
      <name val="Calibri"/>
      <family val="2"/>
    </font>
    <font>
      <i/>
      <sz val="10"/>
      <color theme="1"/>
      <name val="Calibri"/>
      <family val="2"/>
    </font>
    <font>
      <b/>
      <u/>
      <sz val="10"/>
      <color rgb="FF7030A0"/>
      <name val="Calibri (Body)"/>
    </font>
    <font>
      <sz val="10"/>
      <color theme="1"/>
      <name val="Calibri"/>
      <family val="2"/>
    </font>
    <font>
      <b/>
      <sz val="10"/>
      <color theme="1"/>
      <name val="Calibri"/>
      <family val="2"/>
    </font>
    <font>
      <sz val="10"/>
      <name val="Calibri"/>
      <family val="2"/>
    </font>
    <font>
      <sz val="10"/>
      <color theme="1"/>
      <name val="Calibri"/>
      <family val="2"/>
      <scheme val="minor"/>
    </font>
    <font>
      <sz val="10"/>
      <color rgb="FF0432FF"/>
      <name val="Calibri"/>
      <family val="2"/>
    </font>
    <font>
      <sz val="10"/>
      <color rgb="FF008080"/>
      <name val="Calibri"/>
      <family val="2"/>
    </font>
    <font>
      <sz val="10"/>
      <color rgb="FF0432FF"/>
      <name val="Calibri (Body)"/>
    </font>
    <font>
      <b/>
      <sz val="11"/>
      <color theme="1"/>
      <name val="Calibri"/>
      <family val="2"/>
    </font>
    <font>
      <sz val="12"/>
      <color theme="1"/>
      <name val="Calibri"/>
      <family val="2"/>
      <scheme val="minor"/>
    </font>
    <font>
      <b/>
      <sz val="10"/>
      <color rgb="FF0070C0"/>
      <name val="Calibri"/>
      <family val="2"/>
    </font>
    <font>
      <b/>
      <sz val="10"/>
      <name val="Calibri"/>
      <family val="2"/>
    </font>
  </fonts>
  <fills count="27">
    <fill>
      <patternFill patternType="none"/>
    </fill>
    <fill>
      <patternFill patternType="gray125"/>
    </fill>
    <fill>
      <patternFill patternType="solid">
        <fgColor rgb="FFFFE598"/>
        <bgColor rgb="FFFFE598"/>
      </patternFill>
    </fill>
    <fill>
      <patternFill patternType="solid">
        <fgColor rgb="FFD9E2F3"/>
        <bgColor rgb="FFD9E2F3"/>
      </patternFill>
    </fill>
    <fill>
      <patternFill patternType="solid">
        <fgColor rgb="FFBDD6EE"/>
        <bgColor rgb="FFBDD6EE"/>
      </patternFill>
    </fill>
    <fill>
      <patternFill patternType="solid">
        <fgColor rgb="FFF0E2FF"/>
        <bgColor rgb="FFF0E2FF"/>
      </patternFill>
    </fill>
    <fill>
      <patternFill patternType="solid">
        <fgColor rgb="FFF6E8C4"/>
        <bgColor rgb="FFF6E8C4"/>
      </patternFill>
    </fill>
    <fill>
      <patternFill patternType="solid">
        <fgColor rgb="FFFBE4D5"/>
        <bgColor rgb="FFFBE4D5"/>
      </patternFill>
    </fill>
    <fill>
      <patternFill patternType="solid">
        <fgColor rgb="FFA8D08D"/>
        <bgColor rgb="FFA8D08D"/>
      </patternFill>
    </fill>
    <fill>
      <patternFill patternType="solid">
        <fgColor rgb="FFFFDCE7"/>
        <bgColor rgb="FFFFDCE7"/>
      </patternFill>
    </fill>
    <fill>
      <patternFill patternType="solid">
        <fgColor rgb="FFC5E0B3"/>
        <bgColor rgb="FFC5E0B3"/>
      </patternFill>
    </fill>
    <fill>
      <patternFill patternType="solid">
        <fgColor rgb="FFFEF2CB"/>
        <bgColor rgb="FFFEF2CB"/>
      </patternFill>
    </fill>
    <fill>
      <patternFill patternType="solid">
        <fgColor rgb="FFDEEAF6"/>
        <bgColor rgb="FFDEEAF6"/>
      </patternFill>
    </fill>
    <fill>
      <patternFill patternType="solid">
        <fgColor rgb="FFF2E3FF"/>
        <bgColor rgb="FFF2E3FF"/>
      </patternFill>
    </fill>
    <fill>
      <patternFill patternType="solid">
        <fgColor rgb="FFFFF4CD"/>
        <bgColor rgb="FFFFF4CD"/>
      </patternFill>
    </fill>
    <fill>
      <patternFill patternType="solid">
        <fgColor rgb="FFE2EAFE"/>
        <bgColor rgb="FFE2EAFE"/>
      </patternFill>
    </fill>
    <fill>
      <patternFill patternType="solid">
        <fgColor rgb="FFF1FEE8"/>
        <bgColor rgb="FFF1FEE8"/>
      </patternFill>
    </fill>
    <fill>
      <patternFill patternType="solid">
        <fgColor rgb="FFE7EEFF"/>
        <bgColor rgb="FFE7EEFF"/>
      </patternFill>
    </fill>
    <fill>
      <patternFill patternType="solid">
        <fgColor rgb="FFFFFF00"/>
        <bgColor rgb="FFFFFF00"/>
      </patternFill>
    </fill>
    <fill>
      <patternFill patternType="solid">
        <fgColor rgb="FFE2EFD9"/>
        <bgColor rgb="FFE2EFD9"/>
      </patternFill>
    </fill>
    <fill>
      <patternFill patternType="solid">
        <fgColor theme="9" tint="0.59999389629810485"/>
        <bgColor indexed="64"/>
      </patternFill>
    </fill>
    <fill>
      <patternFill patternType="solid">
        <fgColor theme="9" tint="0.59999389629810485"/>
        <bgColor rgb="FFFFE598"/>
      </patternFill>
    </fill>
    <fill>
      <patternFill patternType="solid">
        <fgColor theme="9" tint="0.79998168889431442"/>
        <bgColor rgb="FFFEF2CB"/>
      </patternFill>
    </fill>
    <fill>
      <patternFill patternType="solid">
        <fgColor theme="9" tint="0.79998168889431442"/>
        <bgColor rgb="FFFFF4CD"/>
      </patternFill>
    </fill>
    <fill>
      <patternFill patternType="solid">
        <fgColor theme="9" tint="0.79998168889431442"/>
        <bgColor rgb="FFD9E2F3"/>
      </patternFill>
    </fill>
    <fill>
      <patternFill patternType="solid">
        <fgColor theme="9" tint="0.79998168889431442"/>
        <bgColor rgb="FFFFE598"/>
      </patternFill>
    </fill>
    <fill>
      <patternFill patternType="solid">
        <fgColor theme="7" tint="0.79998168889431442"/>
        <bgColor indexed="64"/>
      </patternFill>
    </fill>
  </fills>
  <borders count="11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style="medium">
        <color rgb="FF000000"/>
      </top>
      <bottom/>
      <diagonal/>
    </border>
    <border>
      <left style="thin">
        <color rgb="FF000000"/>
      </left>
      <right/>
      <top style="medium">
        <color rgb="FF000000"/>
      </top>
      <bottom/>
      <diagonal/>
    </border>
    <border>
      <left/>
      <right style="medium">
        <color rgb="FF000000"/>
      </right>
      <top/>
      <bottom style="medium">
        <color rgb="FF000000"/>
      </bottom>
      <diagonal/>
    </border>
    <border>
      <left style="thin">
        <color rgb="FF000000"/>
      </left>
      <right/>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medium">
        <color indexed="64"/>
      </right>
      <top style="medium">
        <color indexed="64"/>
      </top>
      <bottom style="medium">
        <color rgb="FF000000"/>
      </bottom>
      <diagonal/>
    </border>
    <border>
      <left style="medium">
        <color indexed="64"/>
      </left>
      <right/>
      <top style="medium">
        <color indexed="64"/>
      </top>
      <bottom style="medium">
        <color rgb="FF000000"/>
      </bottom>
      <diagonal/>
    </border>
    <border>
      <left style="medium">
        <color indexed="64"/>
      </left>
      <right/>
      <top style="medium">
        <color rgb="FF000000"/>
      </top>
      <bottom style="medium">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top/>
      <bottom/>
      <diagonal/>
    </border>
    <border>
      <left style="medium">
        <color indexed="64"/>
      </left>
      <right style="medium">
        <color indexed="64"/>
      </right>
      <top style="medium">
        <color indexed="64"/>
      </top>
      <bottom/>
      <diagonal/>
    </border>
    <border>
      <left/>
      <right style="medium">
        <color rgb="FF000000"/>
      </right>
      <top/>
      <bottom/>
      <diagonal/>
    </border>
    <border>
      <left style="medium">
        <color rgb="FF000000"/>
      </left>
      <right style="medium">
        <color rgb="FF000000"/>
      </right>
      <top style="medium">
        <color rgb="FF000000"/>
      </top>
      <bottom style="thin">
        <color rgb="FF000000"/>
      </bottom>
      <diagonal/>
    </border>
    <border>
      <left/>
      <right/>
      <top/>
      <bottom style="thin">
        <color rgb="FF000000"/>
      </bottom>
      <diagonal/>
    </border>
    <border>
      <left style="thin">
        <color rgb="FF000000"/>
      </left>
      <right/>
      <top style="medium">
        <color rgb="FF000000"/>
      </top>
      <bottom style="medium">
        <color rgb="FF000000"/>
      </bottom>
      <diagonal/>
    </border>
    <border>
      <left/>
      <right style="thin">
        <color rgb="FF000000"/>
      </right>
      <top/>
      <bottom/>
      <diagonal/>
    </border>
    <border>
      <left style="medium">
        <color indexed="64"/>
      </left>
      <right style="medium">
        <color indexed="64"/>
      </right>
      <top/>
      <bottom style="medium">
        <color indexed="64"/>
      </bottom>
      <diagonal/>
    </border>
    <border>
      <left/>
      <right style="thin">
        <color rgb="FF000000"/>
      </right>
      <top style="medium">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rgb="FF000000"/>
      </top>
      <bottom style="medium">
        <color indexed="64"/>
      </bottom>
      <diagonal/>
    </border>
    <border>
      <left style="medium">
        <color indexed="64"/>
      </left>
      <right/>
      <top style="thin">
        <color rgb="FF000000"/>
      </top>
      <bottom style="thin">
        <color rgb="FF000000"/>
      </bottom>
      <diagonal/>
    </border>
    <border>
      <left style="medium">
        <color indexed="64"/>
      </left>
      <right/>
      <top style="medium">
        <color rgb="FF000000"/>
      </top>
      <bottom style="thin">
        <color rgb="FF000000"/>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style="medium">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medium">
        <color indexed="64"/>
      </right>
      <top/>
      <bottom style="thin">
        <color rgb="FF000000"/>
      </bottom>
      <diagonal/>
    </border>
    <border>
      <left style="thin">
        <color indexed="64"/>
      </left>
      <right style="medium">
        <color indexed="64"/>
      </right>
      <top/>
      <bottom style="thin">
        <color indexed="64"/>
      </bottom>
      <diagonal/>
    </border>
    <border>
      <left style="medium">
        <color rgb="FF000000"/>
      </left>
      <right style="thin">
        <color rgb="FF000000"/>
      </right>
      <top style="medium">
        <color rgb="FF000000"/>
      </top>
      <bottom style="medium">
        <color indexed="64"/>
      </bottom>
      <diagonal/>
    </border>
    <border>
      <left style="medium">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medium">
        <color indexed="64"/>
      </left>
      <right/>
      <top style="thin">
        <color rgb="FF000000"/>
      </top>
      <bottom style="thin">
        <color indexed="64"/>
      </bottom>
      <diagonal/>
    </border>
    <border>
      <left/>
      <right/>
      <top/>
      <bottom style="thin">
        <color indexed="64"/>
      </bottom>
      <diagonal/>
    </border>
    <border>
      <left style="medium">
        <color rgb="FF000000"/>
      </left>
      <right style="medium">
        <color rgb="FF000000"/>
      </right>
      <top style="thin">
        <color rgb="FF000000"/>
      </top>
      <bottom style="thin">
        <color indexed="64"/>
      </bottom>
      <diagonal/>
    </border>
    <border>
      <left style="medium">
        <color indexed="64"/>
      </left>
      <right/>
      <top style="medium">
        <color rgb="FF000000"/>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s>
  <cellStyleXfs count="2">
    <xf numFmtId="0" fontId="0" fillId="0" borderId="0"/>
    <xf numFmtId="9" fontId="46" fillId="0" borderId="0" applyFont="0" applyFill="0" applyBorder="0" applyAlignment="0" applyProtection="0"/>
  </cellStyleXfs>
  <cellXfs count="257">
    <xf numFmtId="0" fontId="0" fillId="0" borderId="0" xfId="0"/>
    <xf numFmtId="0" fontId="1"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6" fillId="4" borderId="18" xfId="0" applyFont="1" applyFill="1" applyBorder="1" applyAlignment="1">
      <alignment wrapText="1"/>
    </xf>
    <xf numFmtId="0" fontId="6" fillId="0" borderId="0" xfId="0" applyFont="1" applyAlignment="1">
      <alignment horizontal="center" wrapText="1"/>
    </xf>
    <xf numFmtId="0" fontId="4" fillId="4" borderId="24" xfId="0" applyFont="1" applyFill="1" applyBorder="1" applyAlignment="1">
      <alignment wrapText="1"/>
    </xf>
    <xf numFmtId="0" fontId="4" fillId="4" borderId="28" xfId="0" applyFont="1" applyFill="1" applyBorder="1" applyAlignment="1">
      <alignment horizontal="center" wrapText="1"/>
    </xf>
    <xf numFmtId="0" fontId="6" fillId="4" borderId="10" xfId="0" applyFont="1" applyFill="1" applyBorder="1" applyAlignment="1">
      <alignment horizontal="center" wrapText="1"/>
    </xf>
    <xf numFmtId="0" fontId="6" fillId="4" borderId="34" xfId="0" applyFont="1" applyFill="1" applyBorder="1" applyAlignment="1">
      <alignment horizontal="center" wrapText="1"/>
    </xf>
    <xf numFmtId="0" fontId="6" fillId="4" borderId="35" xfId="0" applyFont="1" applyFill="1" applyBorder="1" applyAlignment="1">
      <alignment horizontal="center" wrapText="1"/>
    </xf>
    <xf numFmtId="0" fontId="8" fillId="10" borderId="10" xfId="0" applyFont="1" applyFill="1" applyBorder="1" applyAlignment="1">
      <alignment horizontal="center" wrapText="1"/>
    </xf>
    <xf numFmtId="0" fontId="8" fillId="10" borderId="35" xfId="0" applyFont="1" applyFill="1" applyBorder="1" applyAlignment="1">
      <alignment horizontal="center" wrapText="1"/>
    </xf>
    <xf numFmtId="0" fontId="8" fillId="10" borderId="11" xfId="0" applyFont="1" applyFill="1" applyBorder="1" applyAlignment="1">
      <alignment horizontal="center" wrapText="1"/>
    </xf>
    <xf numFmtId="0" fontId="1" fillId="3" borderId="10" xfId="0" applyFont="1" applyFill="1" applyBorder="1" applyAlignment="1">
      <alignment wrapText="1"/>
    </xf>
    <xf numFmtId="0" fontId="1" fillId="3" borderId="35" xfId="0" applyFont="1" applyFill="1" applyBorder="1" applyAlignment="1">
      <alignment wrapText="1"/>
    </xf>
    <xf numFmtId="0" fontId="1" fillId="3" borderId="11" xfId="0" applyFont="1" applyFill="1" applyBorder="1" applyAlignment="1">
      <alignment wrapText="1"/>
    </xf>
    <xf numFmtId="0" fontId="8" fillId="0" borderId="1" xfId="0" applyFont="1" applyBorder="1" applyAlignment="1">
      <alignment wrapText="1"/>
    </xf>
    <xf numFmtId="0" fontId="8" fillId="11" borderId="3" xfId="0" applyFont="1" applyFill="1" applyBorder="1" applyAlignment="1">
      <alignment wrapText="1"/>
    </xf>
    <xf numFmtId="0" fontId="6" fillId="0" borderId="4" xfId="0" applyFont="1" applyBorder="1" applyAlignment="1">
      <alignment horizontal="center" wrapText="1"/>
    </xf>
    <xf numFmtId="0" fontId="6" fillId="0" borderId="42" xfId="0" applyFont="1" applyBorder="1" applyAlignment="1">
      <alignment wrapText="1"/>
    </xf>
    <xf numFmtId="0" fontId="6" fillId="12" borderId="42" xfId="0" applyFont="1" applyFill="1" applyBorder="1" applyAlignment="1">
      <alignment wrapText="1"/>
    </xf>
    <xf numFmtId="0" fontId="6" fillId="13" borderId="42" xfId="0" applyFont="1" applyFill="1" applyBorder="1" applyAlignment="1">
      <alignment wrapText="1"/>
    </xf>
    <xf numFmtId="9" fontId="6" fillId="16" borderId="28" xfId="0" applyNumberFormat="1" applyFont="1" applyFill="1" applyBorder="1" applyAlignment="1">
      <alignment wrapText="1"/>
    </xf>
    <xf numFmtId="9" fontId="6" fillId="16" borderId="42" xfId="0" applyNumberFormat="1" applyFont="1" applyFill="1" applyBorder="1" applyAlignment="1">
      <alignment wrapText="1"/>
    </xf>
    <xf numFmtId="9" fontId="6" fillId="0" borderId="5" xfId="0" applyNumberFormat="1" applyFont="1" applyBorder="1" applyAlignment="1">
      <alignment wrapText="1"/>
    </xf>
    <xf numFmtId="9" fontId="6" fillId="17" borderId="4" xfId="0" applyNumberFormat="1" applyFont="1" applyFill="1" applyBorder="1" applyAlignment="1">
      <alignment wrapText="1"/>
    </xf>
    <xf numFmtId="9" fontId="6" fillId="17" borderId="42" xfId="0" applyNumberFormat="1" applyFont="1" applyFill="1" applyBorder="1" applyAlignment="1">
      <alignment wrapText="1"/>
    </xf>
    <xf numFmtId="9" fontId="6" fillId="11" borderId="43" xfId="0" applyNumberFormat="1" applyFont="1" applyFill="1" applyBorder="1" applyAlignment="1">
      <alignment wrapText="1"/>
    </xf>
    <xf numFmtId="164" fontId="6" fillId="9" borderId="4" xfId="0" applyNumberFormat="1" applyFont="1" applyFill="1" applyBorder="1" applyAlignment="1">
      <alignment wrapText="1"/>
    </xf>
    <xf numFmtId="0" fontId="6" fillId="0" borderId="31" xfId="0" applyFont="1" applyBorder="1" applyAlignment="1">
      <alignment wrapText="1"/>
    </xf>
    <xf numFmtId="0" fontId="6" fillId="0" borderId="6" xfId="0" applyFont="1" applyBorder="1" applyAlignment="1">
      <alignment horizontal="center" wrapText="1"/>
    </xf>
    <xf numFmtId="0" fontId="6" fillId="0" borderId="44" xfId="0" applyFont="1" applyBorder="1" applyAlignment="1">
      <alignment wrapText="1"/>
    </xf>
    <xf numFmtId="0" fontId="6" fillId="12" borderId="44" xfId="0" applyFont="1" applyFill="1" applyBorder="1" applyAlignment="1">
      <alignment wrapText="1"/>
    </xf>
    <xf numFmtId="0" fontId="6" fillId="13" borderId="44" xfId="0" applyFont="1" applyFill="1" applyBorder="1" applyAlignment="1">
      <alignment wrapText="1"/>
    </xf>
    <xf numFmtId="165" fontId="6" fillId="14" borderId="44" xfId="0" applyNumberFormat="1" applyFont="1" applyFill="1" applyBorder="1" applyAlignment="1">
      <alignment wrapText="1"/>
    </xf>
    <xf numFmtId="9" fontId="6" fillId="16" borderId="45" xfId="0" applyNumberFormat="1" applyFont="1" applyFill="1" applyBorder="1" applyAlignment="1">
      <alignment wrapText="1"/>
    </xf>
    <xf numFmtId="9" fontId="6" fillId="16" borderId="46" xfId="0" applyNumberFormat="1" applyFont="1" applyFill="1" applyBorder="1" applyAlignment="1">
      <alignment wrapText="1"/>
    </xf>
    <xf numFmtId="9" fontId="6" fillId="0" borderId="47" xfId="0" applyNumberFormat="1" applyFont="1" applyBorder="1" applyAlignment="1">
      <alignment wrapText="1"/>
    </xf>
    <xf numFmtId="9" fontId="6" fillId="17" borderId="48" xfId="0" applyNumberFormat="1" applyFont="1" applyFill="1" applyBorder="1" applyAlignment="1">
      <alignment wrapText="1"/>
    </xf>
    <xf numFmtId="9" fontId="6" fillId="17" borderId="46" xfId="0" applyNumberFormat="1" applyFont="1" applyFill="1" applyBorder="1" applyAlignment="1">
      <alignment wrapText="1"/>
    </xf>
    <xf numFmtId="9" fontId="6" fillId="11" borderId="49" xfId="0" applyNumberFormat="1" applyFont="1" applyFill="1" applyBorder="1" applyAlignment="1">
      <alignment wrapText="1"/>
    </xf>
    <xf numFmtId="164" fontId="6" fillId="9" borderId="6" xfId="0" applyNumberFormat="1" applyFont="1" applyFill="1" applyBorder="1" applyAlignment="1">
      <alignment wrapText="1"/>
    </xf>
    <xf numFmtId="0" fontId="6" fillId="0" borderId="7" xfId="0" applyFont="1" applyBorder="1" applyAlignment="1">
      <alignment wrapText="1"/>
    </xf>
    <xf numFmtId="164" fontId="6" fillId="14" borderId="44" xfId="0" applyNumberFormat="1" applyFont="1" applyFill="1" applyBorder="1" applyAlignment="1">
      <alignment wrapText="1"/>
    </xf>
    <xf numFmtId="0" fontId="6" fillId="0" borderId="0" xfId="0" applyFont="1"/>
    <xf numFmtId="0" fontId="6" fillId="0" borderId="0" xfId="0" applyFont="1" applyAlignment="1">
      <alignment horizontal="left"/>
    </xf>
    <xf numFmtId="0" fontId="6" fillId="0" borderId="0" xfId="0" applyFont="1" applyAlignment="1">
      <alignment horizontal="center"/>
    </xf>
    <xf numFmtId="0" fontId="4" fillId="0" borderId="0" xfId="0" applyFont="1"/>
    <xf numFmtId="0" fontId="4" fillId="0" borderId="0" xfId="0" applyFont="1" applyAlignment="1">
      <alignment horizontal="center"/>
    </xf>
    <xf numFmtId="0" fontId="7" fillId="4" borderId="28" xfId="0" applyFont="1" applyFill="1" applyBorder="1" applyAlignment="1">
      <alignment horizontal="center" wrapText="1"/>
    </xf>
    <xf numFmtId="0" fontId="8" fillId="4" borderId="10" xfId="0" applyFont="1" applyFill="1" applyBorder="1" applyAlignment="1">
      <alignment horizontal="center" wrapText="1"/>
    </xf>
    <xf numFmtId="0" fontId="8" fillId="4" borderId="34" xfId="0" applyFont="1" applyFill="1" applyBorder="1" applyAlignment="1">
      <alignment horizontal="center" wrapText="1"/>
    </xf>
    <xf numFmtId="0" fontId="8" fillId="4" borderId="35" xfId="0" applyFont="1" applyFill="1" applyBorder="1" applyAlignment="1">
      <alignment horizontal="center" wrapText="1"/>
    </xf>
    <xf numFmtId="0" fontId="4" fillId="6" borderId="10" xfId="0" applyFont="1" applyFill="1" applyBorder="1" applyAlignment="1">
      <alignment wrapText="1"/>
    </xf>
    <xf numFmtId="0" fontId="4" fillId="6" borderId="11" xfId="0" applyFont="1" applyFill="1" applyBorder="1" applyAlignment="1">
      <alignment wrapText="1"/>
    </xf>
    <xf numFmtId="0" fontId="1" fillId="10" borderId="57" xfId="0" applyFont="1" applyFill="1" applyBorder="1" applyAlignment="1">
      <alignment horizontal="center" wrapText="1"/>
    </xf>
    <xf numFmtId="0" fontId="1" fillId="10" borderId="35" xfId="0" applyFont="1" applyFill="1" applyBorder="1" applyAlignment="1">
      <alignment horizontal="center" wrapText="1"/>
    </xf>
    <xf numFmtId="0" fontId="8" fillId="3" borderId="35" xfId="0" applyFont="1" applyFill="1" applyBorder="1" applyAlignment="1">
      <alignment wrapText="1"/>
    </xf>
    <xf numFmtId="0" fontId="6" fillId="11" borderId="3" xfId="0" applyFont="1" applyFill="1" applyBorder="1" applyAlignment="1">
      <alignment wrapText="1"/>
    </xf>
    <xf numFmtId="0" fontId="6" fillId="0" borderId="12" xfId="0" applyFont="1" applyBorder="1" applyAlignment="1">
      <alignment wrapText="1"/>
    </xf>
    <xf numFmtId="0" fontId="6" fillId="0" borderId="38" xfId="0" applyFont="1" applyBorder="1" applyAlignment="1">
      <alignment wrapText="1"/>
    </xf>
    <xf numFmtId="0" fontId="6" fillId="11" borderId="39" xfId="0" applyFont="1" applyFill="1" applyBorder="1" applyAlignment="1">
      <alignment wrapText="1"/>
    </xf>
    <xf numFmtId="9" fontId="6" fillId="16" borderId="46" xfId="0" applyNumberFormat="1" applyFont="1" applyFill="1" applyBorder="1"/>
    <xf numFmtId="9" fontId="6" fillId="0" borderId="44" xfId="0" applyNumberFormat="1" applyFont="1" applyBorder="1"/>
    <xf numFmtId="9" fontId="6" fillId="17" borderId="46" xfId="0" applyNumberFormat="1" applyFont="1" applyFill="1" applyBorder="1"/>
    <xf numFmtId="9" fontId="6" fillId="11" borderId="49" xfId="0" applyNumberFormat="1" applyFont="1" applyFill="1" applyBorder="1"/>
    <xf numFmtId="9" fontId="6" fillId="11" borderId="50" xfId="0" applyNumberFormat="1" applyFont="1" applyFill="1" applyBorder="1"/>
    <xf numFmtId="0" fontId="6" fillId="0" borderId="44" xfId="0" applyFont="1" applyBorder="1" applyAlignment="1">
      <alignment horizontal="center"/>
    </xf>
    <xf numFmtId="0" fontId="6" fillId="0" borderId="44" xfId="0" applyFont="1" applyBorder="1" applyAlignment="1">
      <alignment horizontal="center" wrapText="1"/>
    </xf>
    <xf numFmtId="0" fontId="6" fillId="12" borderId="44" xfId="0" applyFont="1" applyFill="1" applyBorder="1"/>
    <xf numFmtId="0" fontId="6" fillId="13" borderId="44" xfId="0" applyFont="1" applyFill="1" applyBorder="1"/>
    <xf numFmtId="165" fontId="6" fillId="14" borderId="44" xfId="0" applyNumberFormat="1" applyFont="1" applyFill="1" applyBorder="1"/>
    <xf numFmtId="164" fontId="6" fillId="14" borderId="44" xfId="0" applyNumberFormat="1" applyFont="1" applyFill="1" applyBorder="1"/>
    <xf numFmtId="0" fontId="6" fillId="0" borderId="6" xfId="0" applyFont="1" applyBorder="1"/>
    <xf numFmtId="0" fontId="6" fillId="0" borderId="9" xfId="0" applyFont="1" applyBorder="1" applyAlignment="1">
      <alignment wrapText="1"/>
    </xf>
    <xf numFmtId="0" fontId="41" fillId="0" borderId="0" xfId="0" applyFont="1" applyAlignment="1">
      <alignment vertical="top"/>
    </xf>
    <xf numFmtId="0" fontId="39" fillId="10" borderId="62" xfId="0" applyFont="1" applyFill="1" applyBorder="1" applyAlignment="1">
      <alignment horizontal="center" vertical="top" wrapText="1"/>
    </xf>
    <xf numFmtId="0" fontId="39" fillId="10" borderId="63" xfId="0" applyFont="1" applyFill="1" applyBorder="1" applyAlignment="1">
      <alignment horizontal="center" vertical="top" wrapText="1"/>
    </xf>
    <xf numFmtId="0" fontId="39" fillId="10" borderId="64" xfId="0" applyFont="1" applyFill="1" applyBorder="1" applyAlignment="1">
      <alignment horizontal="center" vertical="top" wrapText="1"/>
    </xf>
    <xf numFmtId="0" fontId="38" fillId="19" borderId="44" xfId="0" applyFont="1" applyFill="1" applyBorder="1" applyAlignment="1">
      <alignment vertical="top" wrapText="1"/>
    </xf>
    <xf numFmtId="9" fontId="38" fillId="19" borderId="44" xfId="0" applyNumberFormat="1" applyFont="1" applyFill="1" applyBorder="1" applyAlignment="1">
      <alignment vertical="top" wrapText="1"/>
    </xf>
    <xf numFmtId="0" fontId="38" fillId="19" borderId="44" xfId="0" applyFont="1" applyFill="1" applyBorder="1" applyAlignment="1">
      <alignment vertical="top"/>
    </xf>
    <xf numFmtId="0" fontId="39" fillId="3" borderId="40" xfId="0" applyFont="1" applyFill="1" applyBorder="1" applyAlignment="1">
      <alignment vertical="top" wrapText="1"/>
    </xf>
    <xf numFmtId="0" fontId="39" fillId="3" borderId="65" xfId="0" applyFont="1" applyFill="1" applyBorder="1" applyAlignment="1">
      <alignment vertical="top" wrapText="1"/>
    </xf>
    <xf numFmtId="0" fontId="38" fillId="15" borderId="44" xfId="0" applyFont="1" applyFill="1" applyBorder="1" applyAlignment="1">
      <alignment vertical="top" wrapText="1"/>
    </xf>
    <xf numFmtId="9" fontId="38" fillId="15" borderId="44" xfId="0" applyNumberFormat="1" applyFont="1" applyFill="1" applyBorder="1" applyAlignment="1">
      <alignment vertical="top"/>
    </xf>
    <xf numFmtId="9" fontId="38" fillId="15" borderId="44" xfId="0" applyNumberFormat="1" applyFont="1" applyFill="1" applyBorder="1" applyAlignment="1">
      <alignment vertical="top" wrapText="1"/>
    </xf>
    <xf numFmtId="165" fontId="6" fillId="14" borderId="61" xfId="0" applyNumberFormat="1" applyFont="1" applyFill="1" applyBorder="1" applyAlignment="1">
      <alignment wrapText="1"/>
    </xf>
    <xf numFmtId="164" fontId="6" fillId="14" borderId="59" xfId="0" applyNumberFormat="1" applyFont="1" applyFill="1" applyBorder="1" applyAlignment="1">
      <alignment wrapText="1"/>
    </xf>
    <xf numFmtId="164" fontId="6" fillId="14" borderId="71" xfId="0" applyNumberFormat="1" applyFont="1" applyFill="1" applyBorder="1" applyAlignment="1">
      <alignment wrapText="1"/>
    </xf>
    <xf numFmtId="164" fontId="6" fillId="14" borderId="72" xfId="0" applyNumberFormat="1" applyFont="1" applyFill="1" applyBorder="1" applyAlignment="1">
      <alignment wrapText="1"/>
    </xf>
    <xf numFmtId="165" fontId="6" fillId="14" borderId="60" xfId="0" applyNumberFormat="1" applyFont="1" applyFill="1" applyBorder="1" applyAlignment="1">
      <alignment wrapText="1"/>
    </xf>
    <xf numFmtId="0" fontId="6" fillId="9" borderId="77" xfId="0" applyFont="1" applyFill="1" applyBorder="1" applyAlignment="1">
      <alignment horizontal="center" wrapText="1"/>
    </xf>
    <xf numFmtId="164" fontId="6" fillId="9" borderId="43" xfId="0" applyNumberFormat="1" applyFont="1" applyFill="1" applyBorder="1" applyAlignment="1">
      <alignment wrapText="1"/>
    </xf>
    <xf numFmtId="164" fontId="6" fillId="9" borderId="66" xfId="0" applyNumberFormat="1" applyFont="1" applyFill="1" applyBorder="1" applyAlignment="1">
      <alignment wrapText="1"/>
    </xf>
    <xf numFmtId="9" fontId="6" fillId="14" borderId="46" xfId="1" applyFont="1" applyFill="1" applyBorder="1" applyAlignment="1">
      <alignment horizontal="center"/>
    </xf>
    <xf numFmtId="0" fontId="6" fillId="4" borderId="0" xfId="0" applyFont="1" applyFill="1" applyAlignment="1">
      <alignment wrapText="1"/>
    </xf>
    <xf numFmtId="0" fontId="4" fillId="4" borderId="0" xfId="0" applyFont="1" applyFill="1" applyAlignment="1">
      <alignment wrapText="1"/>
    </xf>
    <xf numFmtId="9" fontId="6" fillId="0" borderId="80" xfId="0" applyNumberFormat="1" applyFont="1" applyBorder="1" applyAlignment="1">
      <alignment wrapText="1"/>
    </xf>
    <xf numFmtId="9" fontId="6" fillId="0" borderId="9" xfId="0" applyNumberFormat="1" applyFont="1" applyBorder="1" applyAlignment="1">
      <alignment wrapText="1"/>
    </xf>
    <xf numFmtId="0" fontId="8" fillId="11" borderId="82" xfId="0" applyFont="1" applyFill="1" applyBorder="1" applyAlignment="1">
      <alignment wrapText="1"/>
    </xf>
    <xf numFmtId="0" fontId="8" fillId="9" borderId="83" xfId="0" applyFont="1" applyFill="1" applyBorder="1" applyAlignment="1">
      <alignment horizontal="center" wrapText="1"/>
    </xf>
    <xf numFmtId="9" fontId="6" fillId="0" borderId="8" xfId="0" applyNumberFormat="1" applyFont="1" applyBorder="1" applyAlignment="1">
      <alignment wrapText="1"/>
    </xf>
    <xf numFmtId="0" fontId="6" fillId="12" borderId="59" xfId="0" applyFont="1" applyFill="1" applyBorder="1" applyAlignment="1">
      <alignment wrapText="1"/>
    </xf>
    <xf numFmtId="0" fontId="6" fillId="4" borderId="88" xfId="0" applyFont="1" applyFill="1" applyBorder="1" applyAlignment="1">
      <alignment horizontal="center" wrapText="1"/>
    </xf>
    <xf numFmtId="0" fontId="6" fillId="4" borderId="70" xfId="0" applyFont="1" applyFill="1" applyBorder="1" applyAlignment="1">
      <alignment horizontal="center" wrapText="1"/>
    </xf>
    <xf numFmtId="0" fontId="2" fillId="0" borderId="0" xfId="0" applyFont="1"/>
    <xf numFmtId="9" fontId="6" fillId="0" borderId="60" xfId="0" applyNumberFormat="1" applyFont="1" applyBorder="1"/>
    <xf numFmtId="9" fontId="6" fillId="0" borderId="81" xfId="0" applyNumberFormat="1" applyFont="1" applyBorder="1"/>
    <xf numFmtId="0" fontId="8" fillId="3" borderId="34" xfId="0" applyFont="1" applyFill="1" applyBorder="1" applyAlignment="1">
      <alignment wrapText="1"/>
    </xf>
    <xf numFmtId="0" fontId="1" fillId="10" borderId="34" xfId="0" applyFont="1" applyFill="1" applyBorder="1" applyAlignment="1">
      <alignment horizontal="center" wrapText="1"/>
    </xf>
    <xf numFmtId="0" fontId="8" fillId="3" borderId="57" xfId="0" applyFont="1" applyFill="1" applyBorder="1" applyAlignment="1">
      <alignment wrapText="1"/>
    </xf>
    <xf numFmtId="9" fontId="6" fillId="23" borderId="89" xfId="1" applyFont="1" applyFill="1" applyBorder="1" applyAlignment="1">
      <alignment horizontal="center" wrapText="1"/>
    </xf>
    <xf numFmtId="9" fontId="6" fillId="22" borderId="81" xfId="0" applyNumberFormat="1" applyFont="1" applyFill="1" applyBorder="1" applyAlignment="1">
      <alignment wrapText="1"/>
    </xf>
    <xf numFmtId="9" fontId="6" fillId="23" borderId="90" xfId="1" applyFont="1" applyFill="1" applyBorder="1" applyAlignment="1">
      <alignment horizontal="center" wrapText="1"/>
    </xf>
    <xf numFmtId="0" fontId="6" fillId="0" borderId="72" xfId="0" applyFont="1" applyBorder="1" applyAlignment="1">
      <alignment wrapText="1"/>
    </xf>
    <xf numFmtId="9" fontId="6" fillId="22" borderId="72" xfId="0" applyNumberFormat="1" applyFont="1" applyFill="1" applyBorder="1" applyAlignment="1">
      <alignment wrapText="1"/>
    </xf>
    <xf numFmtId="0" fontId="8" fillId="0" borderId="92" xfId="0" applyFont="1" applyBorder="1" applyAlignment="1">
      <alignment wrapText="1"/>
    </xf>
    <xf numFmtId="0" fontId="8" fillId="22" borderId="91" xfId="0" applyFont="1" applyFill="1" applyBorder="1" applyAlignment="1">
      <alignment wrapText="1"/>
    </xf>
    <xf numFmtId="9" fontId="6" fillId="22" borderId="93" xfId="0" applyNumberFormat="1" applyFont="1" applyFill="1" applyBorder="1" applyAlignment="1">
      <alignment wrapText="1"/>
    </xf>
    <xf numFmtId="9" fontId="6" fillId="22" borderId="94" xfId="0" applyNumberFormat="1" applyFont="1" applyFill="1" applyBorder="1" applyAlignment="1">
      <alignment wrapText="1"/>
    </xf>
    <xf numFmtId="9" fontId="6" fillId="22" borderId="95" xfId="0" applyNumberFormat="1" applyFont="1" applyFill="1" applyBorder="1" applyAlignment="1">
      <alignment wrapText="1"/>
    </xf>
    <xf numFmtId="9" fontId="6" fillId="22" borderId="96" xfId="0" applyNumberFormat="1" applyFont="1" applyFill="1" applyBorder="1" applyAlignment="1">
      <alignment wrapText="1"/>
    </xf>
    <xf numFmtId="0" fontId="8" fillId="0" borderId="91" xfId="0" applyFont="1" applyBorder="1" applyAlignment="1">
      <alignment wrapText="1"/>
    </xf>
    <xf numFmtId="9" fontId="6" fillId="11" borderId="32" xfId="0" applyNumberFormat="1" applyFont="1" applyFill="1" applyBorder="1" applyAlignment="1">
      <alignment wrapText="1"/>
    </xf>
    <xf numFmtId="9" fontId="6" fillId="11" borderId="81" xfId="0" applyNumberFormat="1" applyFont="1" applyFill="1" applyBorder="1" applyAlignment="1">
      <alignment wrapText="1"/>
    </xf>
    <xf numFmtId="0" fontId="8" fillId="0" borderId="97" xfId="0" applyFont="1" applyBorder="1" applyAlignment="1">
      <alignment wrapText="1"/>
    </xf>
    <xf numFmtId="0" fontId="6" fillId="12" borderId="66" xfId="0" applyFont="1" applyFill="1" applyBorder="1" applyAlignment="1">
      <alignment wrapText="1"/>
    </xf>
    <xf numFmtId="0" fontId="6" fillId="12" borderId="61" xfId="0" applyFont="1" applyFill="1" applyBorder="1" applyAlignment="1">
      <alignment wrapText="1"/>
    </xf>
    <xf numFmtId="0" fontId="6" fillId="12" borderId="63" xfId="0" applyFont="1" applyFill="1" applyBorder="1" applyAlignment="1">
      <alignment wrapText="1"/>
    </xf>
    <xf numFmtId="0" fontId="6" fillId="12" borderId="71" xfId="0" applyFont="1" applyFill="1" applyBorder="1" applyAlignment="1">
      <alignment wrapText="1"/>
    </xf>
    <xf numFmtId="0" fontId="3" fillId="0" borderId="0" xfId="0" applyFont="1" applyAlignment="1">
      <alignment wrapText="1"/>
    </xf>
    <xf numFmtId="0" fontId="3" fillId="24" borderId="78" xfId="0" applyFont="1" applyFill="1" applyBorder="1" applyAlignment="1">
      <alignment wrapText="1"/>
    </xf>
    <xf numFmtId="0" fontId="39" fillId="3" borderId="41" xfId="0" applyFont="1" applyFill="1" applyBorder="1" applyAlignment="1">
      <alignment vertical="top" wrapText="1"/>
    </xf>
    <xf numFmtId="0" fontId="41" fillId="0" borderId="0" xfId="0" applyFont="1" applyAlignment="1">
      <alignment vertical="top" wrapText="1"/>
    </xf>
    <xf numFmtId="164" fontId="6" fillId="0" borderId="0" xfId="0" applyNumberFormat="1" applyFont="1" applyAlignment="1">
      <alignment wrapText="1"/>
    </xf>
    <xf numFmtId="9" fontId="6" fillId="0" borderId="0" xfId="1" applyFont="1" applyFill="1" applyBorder="1" applyAlignment="1">
      <alignment horizontal="center" wrapText="1"/>
    </xf>
    <xf numFmtId="9" fontId="6" fillId="0" borderId="0" xfId="0" applyNumberFormat="1" applyFont="1" applyAlignment="1">
      <alignment wrapText="1"/>
    </xf>
    <xf numFmtId="164" fontId="6" fillId="9" borderId="98" xfId="0" applyNumberFormat="1" applyFont="1" applyFill="1" applyBorder="1" applyAlignment="1">
      <alignment wrapText="1"/>
    </xf>
    <xf numFmtId="164" fontId="6" fillId="9" borderId="99" xfId="0" applyNumberFormat="1" applyFont="1" applyFill="1" applyBorder="1" applyAlignment="1">
      <alignment wrapText="1"/>
    </xf>
    <xf numFmtId="9" fontId="6" fillId="23" borderId="100" xfId="1" applyFont="1" applyFill="1" applyBorder="1" applyAlignment="1">
      <alignment horizontal="center" wrapText="1"/>
    </xf>
    <xf numFmtId="9" fontId="6" fillId="22" borderId="101" xfId="0" applyNumberFormat="1" applyFont="1" applyFill="1" applyBorder="1" applyAlignment="1">
      <alignment wrapText="1"/>
    </xf>
    <xf numFmtId="9" fontId="6" fillId="0" borderId="102" xfId="0" applyNumberFormat="1" applyFont="1" applyBorder="1" applyAlignment="1">
      <alignment wrapText="1"/>
    </xf>
    <xf numFmtId="0" fontId="3" fillId="0" borderId="0" xfId="0" applyFont="1"/>
    <xf numFmtId="0" fontId="1" fillId="0" borderId="104" xfId="0" applyFont="1" applyBorder="1"/>
    <xf numFmtId="0" fontId="1" fillId="0" borderId="105" xfId="0" applyFont="1" applyBorder="1"/>
    <xf numFmtId="0" fontId="1" fillId="0" borderId="106" xfId="0" applyFont="1" applyBorder="1"/>
    <xf numFmtId="0" fontId="3" fillId="0" borderId="93" xfId="0" applyFont="1" applyBorder="1"/>
    <xf numFmtId="0" fontId="1" fillId="26" borderId="108" xfId="0" applyFont="1" applyFill="1" applyBorder="1" applyAlignment="1">
      <alignment wrapText="1"/>
    </xf>
    <xf numFmtId="0" fontId="1" fillId="26" borderId="109" xfId="0" applyFont="1" applyFill="1" applyBorder="1" applyAlignment="1">
      <alignment wrapText="1"/>
    </xf>
    <xf numFmtId="0" fontId="6" fillId="0" borderId="72" xfId="0" applyFont="1" applyBorder="1" applyAlignment="1">
      <alignment horizontal="left" vertical="top" wrapText="1"/>
    </xf>
    <xf numFmtId="9" fontId="6" fillId="0" borderId="110" xfId="0" applyNumberFormat="1" applyFont="1" applyBorder="1" applyAlignment="1">
      <alignment wrapText="1"/>
    </xf>
    <xf numFmtId="0" fontId="6" fillId="0" borderId="111" xfId="0" applyFont="1" applyBorder="1" applyAlignment="1">
      <alignment wrapText="1"/>
    </xf>
    <xf numFmtId="0" fontId="6" fillId="0" borderId="112" xfId="0" applyFont="1" applyBorder="1" applyAlignment="1">
      <alignment wrapText="1"/>
    </xf>
    <xf numFmtId="0" fontId="0" fillId="0" borderId="71" xfId="0" applyBorder="1"/>
    <xf numFmtId="0" fontId="1" fillId="0" borderId="68" xfId="0" applyFont="1" applyBorder="1" applyAlignment="1">
      <alignment horizontal="left" vertical="top" wrapText="1"/>
    </xf>
    <xf numFmtId="0" fontId="2" fillId="0" borderId="67" xfId="0" applyFont="1" applyBorder="1"/>
    <xf numFmtId="0" fontId="3" fillId="2" borderId="103" xfId="0" applyFont="1" applyFill="1" applyBorder="1" applyAlignment="1">
      <alignment horizontal="left" wrapText="1"/>
    </xf>
    <xf numFmtId="0" fontId="2" fillId="0" borderId="107" xfId="0" applyFont="1" applyBorder="1"/>
    <xf numFmtId="0" fontId="4" fillId="4" borderId="14" xfId="0" applyFont="1" applyFill="1" applyBorder="1" applyAlignment="1">
      <alignment horizontal="center" wrapText="1"/>
    </xf>
    <xf numFmtId="0" fontId="2" fillId="0" borderId="15" xfId="0" applyFont="1" applyBorder="1"/>
    <xf numFmtId="0" fontId="2" fillId="0" borderId="16" xfId="0" applyFont="1" applyBorder="1"/>
    <xf numFmtId="0" fontId="2" fillId="0" borderId="20" xfId="0" applyFont="1" applyBorder="1"/>
    <xf numFmtId="0" fontId="2" fillId="0" borderId="21" xfId="0" applyFont="1" applyBorder="1"/>
    <xf numFmtId="0" fontId="2" fillId="0" borderId="22" xfId="0" applyFont="1" applyBorder="1"/>
    <xf numFmtId="0" fontId="2" fillId="0" borderId="17" xfId="0" applyFont="1" applyBorder="1"/>
    <xf numFmtId="0" fontId="2" fillId="0" borderId="23" xfId="0" applyFont="1" applyBorder="1"/>
    <xf numFmtId="0" fontId="6" fillId="0" borderId="25" xfId="0" applyFont="1" applyBorder="1" applyAlignment="1">
      <alignment horizontal="center" wrapText="1"/>
    </xf>
    <xf numFmtId="0" fontId="2" fillId="0" borderId="32" xfId="0" applyFont="1" applyBorder="1"/>
    <xf numFmtId="0" fontId="2" fillId="0" borderId="31" xfId="0" applyFont="1" applyBorder="1"/>
    <xf numFmtId="0" fontId="4" fillId="4" borderId="63" xfId="0" applyFont="1" applyFill="1" applyBorder="1" applyAlignment="1">
      <alignment horizontal="center" wrapText="1"/>
    </xf>
    <xf numFmtId="0" fontId="4" fillId="4" borderId="52" xfId="0" applyFont="1" applyFill="1" applyBorder="1" applyAlignment="1">
      <alignment horizontal="center" wrapText="1"/>
    </xf>
    <xf numFmtId="0" fontId="4" fillId="0" borderId="53" xfId="0" applyFont="1" applyBorder="1" applyAlignment="1">
      <alignment horizontal="center" wrapText="1"/>
    </xf>
    <xf numFmtId="0" fontId="2" fillId="0" borderId="55" xfId="0" applyFont="1" applyBorder="1"/>
    <xf numFmtId="0" fontId="6" fillId="8" borderId="13" xfId="0" applyFont="1" applyFill="1" applyBorder="1" applyAlignment="1">
      <alignment horizontal="center" wrapText="1"/>
    </xf>
    <xf numFmtId="0" fontId="2" fillId="0" borderId="33" xfId="0" applyFont="1" applyBorder="1"/>
    <xf numFmtId="0" fontId="7" fillId="21" borderId="13" xfId="0" applyFont="1" applyFill="1" applyBorder="1" applyAlignment="1">
      <alignment horizontal="center" wrapText="1"/>
    </xf>
    <xf numFmtId="0" fontId="7" fillId="21" borderId="33" xfId="0" applyFont="1" applyFill="1" applyBorder="1" applyAlignment="1">
      <alignment horizontal="center" wrapText="1"/>
    </xf>
    <xf numFmtId="0" fontId="8" fillId="4" borderId="13" xfId="0" applyFont="1" applyFill="1" applyBorder="1" applyAlignment="1">
      <alignment horizontal="center" wrapText="1"/>
    </xf>
    <xf numFmtId="0" fontId="2" fillId="0" borderId="58" xfId="0" applyFont="1" applyBorder="1"/>
    <xf numFmtId="0" fontId="4" fillId="21" borderId="1" xfId="0" applyFont="1" applyFill="1" applyBorder="1" applyAlignment="1">
      <alignment horizontal="center" wrapText="1"/>
    </xf>
    <xf numFmtId="0" fontId="2" fillId="20" borderId="12" xfId="0" applyFont="1" applyFill="1" applyBorder="1"/>
    <xf numFmtId="0" fontId="7" fillId="25" borderId="78" xfId="0" applyFont="1" applyFill="1" applyBorder="1" applyAlignment="1">
      <alignment horizontal="center" wrapText="1"/>
    </xf>
    <xf numFmtId="0" fontId="4" fillId="25" borderId="84" xfId="0" applyFont="1" applyFill="1" applyBorder="1" applyAlignment="1">
      <alignment horizontal="center" wrapText="1"/>
    </xf>
    <xf numFmtId="0" fontId="4" fillId="9" borderId="69" xfId="0" applyFont="1" applyFill="1" applyBorder="1" applyAlignment="1">
      <alignment horizontal="center" wrapText="1"/>
    </xf>
    <xf numFmtId="0" fontId="45" fillId="9" borderId="2" xfId="0" applyFont="1" applyFill="1" applyBorder="1" applyAlignment="1">
      <alignment horizontal="center" wrapText="1"/>
    </xf>
    <xf numFmtId="0" fontId="6" fillId="6" borderId="74" xfId="0" applyFont="1" applyFill="1" applyBorder="1" applyAlignment="1">
      <alignment horizontal="center" wrapText="1"/>
    </xf>
    <xf numFmtId="0" fontId="2" fillId="0" borderId="76" xfId="0" applyFont="1" applyBorder="1"/>
    <xf numFmtId="0" fontId="4" fillId="2" borderId="1" xfId="0" applyFont="1" applyFill="1" applyBorder="1" applyAlignment="1">
      <alignment horizontal="center" wrapText="1"/>
    </xf>
    <xf numFmtId="0" fontId="2" fillId="0" borderId="12" xfId="0" applyFont="1" applyBorder="1"/>
    <xf numFmtId="0" fontId="7" fillId="2" borderId="78" xfId="0" applyFont="1" applyFill="1" applyBorder="1" applyAlignment="1">
      <alignment horizontal="center" wrapText="1"/>
    </xf>
    <xf numFmtId="0" fontId="4" fillId="2" borderId="84" xfId="0" applyFont="1" applyFill="1" applyBorder="1" applyAlignment="1">
      <alignment horizontal="center" wrapText="1"/>
    </xf>
    <xf numFmtId="0" fontId="6" fillId="4" borderId="54" xfId="0" applyFont="1" applyFill="1" applyBorder="1" applyAlignment="1">
      <alignment horizontal="center" wrapText="1"/>
    </xf>
    <xf numFmtId="0" fontId="2" fillId="0" borderId="56" xfId="0" applyFont="1" applyBorder="1"/>
    <xf numFmtId="0" fontId="6" fillId="5" borderId="85" xfId="0" applyFont="1" applyFill="1" applyBorder="1" applyAlignment="1">
      <alignment horizontal="center" wrapText="1"/>
    </xf>
    <xf numFmtId="0" fontId="2" fillId="0" borderId="51" xfId="0" applyFont="1" applyBorder="1"/>
    <xf numFmtId="0" fontId="6" fillId="5" borderId="29" xfId="0" applyFont="1" applyFill="1" applyBorder="1" applyAlignment="1">
      <alignment horizontal="center" wrapText="1"/>
    </xf>
    <xf numFmtId="0" fontId="2" fillId="0" borderId="36" xfId="0" applyFont="1" applyBorder="1"/>
    <xf numFmtId="0" fontId="6" fillId="4" borderId="86" xfId="0" applyFont="1" applyFill="1" applyBorder="1" applyAlignment="1">
      <alignment horizontal="center" wrapText="1"/>
    </xf>
    <xf numFmtId="0" fontId="6" fillId="4" borderId="87" xfId="0" applyFont="1" applyFill="1" applyBorder="1" applyAlignment="1">
      <alignment horizontal="center" wrapText="1"/>
    </xf>
    <xf numFmtId="0" fontId="4" fillId="6" borderId="73" xfId="0" applyFont="1" applyFill="1" applyBorder="1" applyAlignment="1">
      <alignment horizontal="center" wrapText="1"/>
    </xf>
    <xf numFmtId="0" fontId="2" fillId="0" borderId="75" xfId="0" applyFont="1" applyBorder="1"/>
    <xf numFmtId="0" fontId="6" fillId="0" borderId="1" xfId="0" applyFont="1" applyBorder="1" applyAlignment="1">
      <alignment horizontal="left" wrapText="1"/>
    </xf>
    <xf numFmtId="0" fontId="6" fillId="0" borderId="12" xfId="0" applyFont="1" applyBorder="1" applyAlignment="1">
      <alignment horizontal="left" wrapText="1"/>
    </xf>
    <xf numFmtId="0" fontId="6" fillId="0" borderId="2" xfId="0" applyFont="1" applyBorder="1" applyAlignment="1">
      <alignment horizontal="left" wrapText="1"/>
    </xf>
    <xf numFmtId="0" fontId="4" fillId="0" borderId="1" xfId="0" applyFont="1" applyBorder="1" applyAlignment="1">
      <alignment horizontal="left" wrapText="1"/>
    </xf>
    <xf numFmtId="0" fontId="4" fillId="0" borderId="12" xfId="0" applyFont="1" applyBorder="1" applyAlignment="1">
      <alignment horizontal="left" wrapText="1"/>
    </xf>
    <xf numFmtId="0" fontId="4" fillId="0" borderId="2" xfId="0" applyFont="1" applyBorder="1" applyAlignment="1">
      <alignment horizontal="left" wrapText="1"/>
    </xf>
    <xf numFmtId="0" fontId="6" fillId="0" borderId="13" xfId="0" applyFont="1" applyBorder="1" applyAlignment="1">
      <alignment horizontal="center" wrapText="1"/>
    </xf>
    <xf numFmtId="0" fontId="4" fillId="0" borderId="13" xfId="0" applyFont="1" applyBorder="1" applyAlignment="1">
      <alignment horizontal="left" wrapText="1"/>
    </xf>
    <xf numFmtId="0" fontId="6" fillId="4" borderId="25" xfId="0" applyFont="1" applyFill="1" applyBorder="1" applyAlignment="1">
      <alignment horizontal="center" wrapText="1"/>
    </xf>
    <xf numFmtId="0" fontId="2" fillId="0" borderId="26" xfId="0" applyFont="1" applyBorder="1"/>
    <xf numFmtId="0" fontId="6" fillId="4" borderId="27" xfId="0" applyFont="1" applyFill="1" applyBorder="1" applyAlignment="1">
      <alignment horizontal="center" wrapText="1"/>
    </xf>
    <xf numFmtId="0" fontId="4" fillId="21" borderId="13" xfId="0" applyFont="1" applyFill="1" applyBorder="1" applyAlignment="1">
      <alignment horizontal="center" wrapText="1"/>
    </xf>
    <xf numFmtId="0" fontId="4" fillId="21" borderId="33" xfId="0" applyFont="1" applyFill="1" applyBorder="1" applyAlignment="1">
      <alignment horizontal="center" wrapText="1"/>
    </xf>
    <xf numFmtId="0" fontId="6" fillId="0" borderId="32" xfId="0" applyFont="1" applyBorder="1" applyAlignment="1">
      <alignment horizontal="center" wrapText="1"/>
    </xf>
    <xf numFmtId="0" fontId="6" fillId="4" borderId="78" xfId="0" applyFont="1" applyFill="1" applyBorder="1" applyAlignment="1">
      <alignment horizontal="center" wrapText="1"/>
    </xf>
    <xf numFmtId="0" fontId="2" fillId="0" borderId="84" xfId="0" applyFont="1" applyBorder="1"/>
    <xf numFmtId="0" fontId="4" fillId="2" borderId="13" xfId="0" applyFont="1" applyFill="1" applyBorder="1" applyAlignment="1">
      <alignment horizontal="center" wrapText="1"/>
    </xf>
    <xf numFmtId="0" fontId="4" fillId="2" borderId="58" xfId="0" applyFont="1" applyFill="1" applyBorder="1" applyAlignment="1">
      <alignment horizontal="center" wrapText="1"/>
    </xf>
    <xf numFmtId="0" fontId="4" fillId="2" borderId="33" xfId="0" applyFont="1" applyFill="1" applyBorder="1" applyAlignment="1">
      <alignment horizontal="center" wrapText="1"/>
    </xf>
    <xf numFmtId="0" fontId="4" fillId="2" borderId="14" xfId="0" applyFont="1" applyFill="1" applyBorder="1" applyAlignment="1">
      <alignment horizontal="center" wrapText="1"/>
    </xf>
    <xf numFmtId="0" fontId="8" fillId="8" borderId="78" xfId="0" applyFont="1" applyFill="1" applyBorder="1" applyAlignment="1">
      <alignment horizontal="center" wrapText="1"/>
    </xf>
    <xf numFmtId="0" fontId="6" fillId="0" borderId="0" xfId="0" applyFont="1" applyAlignment="1">
      <alignment horizontal="left"/>
    </xf>
    <xf numFmtId="0" fontId="0" fillId="0" borderId="0" xfId="0"/>
    <xf numFmtId="0" fontId="6" fillId="6" borderId="53" xfId="0" applyFont="1" applyFill="1" applyBorder="1" applyAlignment="1">
      <alignment horizontal="center" wrapText="1"/>
    </xf>
    <xf numFmtId="0" fontId="6" fillId="6" borderId="29" xfId="0" applyFont="1" applyFill="1" applyBorder="1" applyAlignment="1">
      <alignment horizontal="center" wrapText="1"/>
    </xf>
    <xf numFmtId="0" fontId="2" fillId="0" borderId="79" xfId="0" applyFont="1" applyBorder="1"/>
    <xf numFmtId="0" fontId="8" fillId="0" borderId="32" xfId="0" applyFont="1" applyBorder="1" applyAlignment="1">
      <alignment horizontal="center" wrapText="1"/>
    </xf>
    <xf numFmtId="0" fontId="7" fillId="4" borderId="63" xfId="0" applyFont="1" applyFill="1" applyBorder="1" applyAlignment="1">
      <alignment horizontal="center" wrapText="1"/>
    </xf>
    <xf numFmtId="0" fontId="7" fillId="4" borderId="52" xfId="0" applyFont="1" applyFill="1" applyBorder="1" applyAlignment="1">
      <alignment horizontal="center" wrapText="1"/>
    </xf>
    <xf numFmtId="0" fontId="4" fillId="0" borderId="13" xfId="0" applyFont="1" applyBorder="1" applyAlignment="1">
      <alignment horizontal="center"/>
    </xf>
    <xf numFmtId="0" fontId="2" fillId="0" borderId="19" xfId="0" applyFont="1" applyBorder="1"/>
    <xf numFmtId="0" fontId="6" fillId="0" borderId="30" xfId="0" applyFont="1" applyBorder="1" applyAlignment="1">
      <alignment horizontal="center"/>
    </xf>
    <xf numFmtId="0" fontId="2" fillId="0" borderId="37" xfId="0" applyFont="1" applyBorder="1"/>
    <xf numFmtId="0" fontId="4" fillId="0" borderId="29" xfId="0" applyFont="1" applyBorder="1" applyAlignment="1">
      <alignment horizontal="left" wrapText="1"/>
    </xf>
    <xf numFmtId="0" fontId="4" fillId="0" borderId="13" xfId="0" applyFont="1" applyBorder="1" applyAlignment="1">
      <alignment horizontal="center" wrapText="1"/>
    </xf>
    <xf numFmtId="0" fontId="7" fillId="0" borderId="30" xfId="0" applyFont="1" applyBorder="1" applyAlignment="1">
      <alignment horizontal="center" wrapText="1"/>
    </xf>
    <xf numFmtId="0" fontId="7" fillId="0" borderId="29" xfId="0" applyFont="1" applyBorder="1" applyAlignment="1">
      <alignment horizontal="center" wrapText="1"/>
    </xf>
    <xf numFmtId="0" fontId="8" fillId="4" borderId="25" xfId="0" applyFont="1" applyFill="1" applyBorder="1" applyAlignment="1">
      <alignment horizontal="center" wrapText="1"/>
    </xf>
    <xf numFmtId="0" fontId="8" fillId="4" borderId="28" xfId="0" applyFont="1" applyFill="1" applyBorder="1" applyAlignment="1">
      <alignment horizontal="center" wrapText="1"/>
    </xf>
    <xf numFmtId="0" fontId="8" fillId="4" borderId="43" xfId="0" applyFont="1" applyFill="1" applyBorder="1" applyAlignment="1">
      <alignment horizontal="center" wrapText="1"/>
    </xf>
    <xf numFmtId="0" fontId="6" fillId="5" borderId="30" xfId="0" applyFont="1" applyFill="1" applyBorder="1" applyAlignment="1">
      <alignment horizontal="center" wrapText="1"/>
    </xf>
    <xf numFmtId="0" fontId="6" fillId="6" borderId="25" xfId="0" applyFont="1" applyFill="1" applyBorder="1" applyAlignment="1">
      <alignment horizontal="center" wrapText="1"/>
    </xf>
    <xf numFmtId="0" fontId="4" fillId="4" borderId="14" xfId="0" applyFont="1" applyFill="1" applyBorder="1" applyAlignment="1">
      <alignment horizontal="center"/>
    </xf>
    <xf numFmtId="0" fontId="4" fillId="18" borderId="1" xfId="0" applyFont="1" applyFill="1" applyBorder="1" applyAlignment="1">
      <alignment horizontal="left"/>
    </xf>
    <xf numFmtId="0" fontId="2" fillId="0" borderId="2" xfId="0" applyFont="1" applyBorder="1"/>
    <xf numFmtId="0" fontId="6" fillId="7" borderId="1" xfId="0" applyFont="1" applyFill="1" applyBorder="1" applyAlignment="1">
      <alignment horizontal="center"/>
    </xf>
    <xf numFmtId="0" fontId="4" fillId="0" borderId="1" xfId="0" applyFont="1" applyBorder="1" applyAlignment="1">
      <alignment horizontal="center" wrapText="1"/>
    </xf>
    <xf numFmtId="0" fontId="7" fillId="0" borderId="1" xfId="0" applyFont="1" applyBorder="1" applyAlignment="1">
      <alignment horizontal="center" vertical="top" wrapText="1"/>
    </xf>
    <xf numFmtId="0" fontId="40" fillId="0" borderId="12" xfId="0" applyFont="1" applyBorder="1" applyAlignment="1">
      <alignment vertical="top"/>
    </xf>
    <xf numFmtId="0" fontId="40" fillId="0" borderId="2" xfId="0" applyFont="1" applyBorder="1" applyAlignment="1">
      <alignment vertical="top"/>
    </xf>
    <xf numFmtId="0" fontId="8" fillId="0" borderId="1" xfId="0" applyFont="1" applyBorder="1" applyAlignment="1">
      <alignment horizontal="center" vertical="top" wrapText="1"/>
    </xf>
    <xf numFmtId="0" fontId="48" fillId="0" borderId="12" xfId="0" applyFont="1" applyBorder="1" applyAlignment="1">
      <alignment vertical="top"/>
    </xf>
    <xf numFmtId="0" fontId="48" fillId="0" borderId="2" xfId="0" applyFont="1" applyBorder="1" applyAlignment="1">
      <alignment vertical="top"/>
    </xf>
  </cellXfs>
  <cellStyles count="2">
    <cellStyle name="Normal" xfId="0" builtinId="0"/>
    <cellStyle name="Percent" xfId="1" builtinId="5"/>
  </cellStyles>
  <dxfs count="5">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s>
  <tableStyles count="0" defaultTableStyle="TableStyleMedium2" defaultPivotStyle="PivotStyleLight16"/>
  <colors>
    <mruColors>
      <color rgb="FFFFDC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3"/>
  <sheetViews>
    <sheetView view="pageBreakPreview" zoomScale="60" zoomScaleNormal="130" workbookViewId="0">
      <selection activeCell="B24" sqref="B24"/>
    </sheetView>
  </sheetViews>
  <sheetFormatPr defaultColWidth="11.09765625" defaultRowHeight="15" customHeight="1"/>
  <cols>
    <col min="1" max="1" width="24.59765625" customWidth="1"/>
    <col min="2" max="2" width="78" customWidth="1"/>
    <col min="3" max="3" width="31.59765625" customWidth="1"/>
    <col min="4" max="4" width="43.5" customWidth="1"/>
    <col min="5" max="8" width="10.59765625" customWidth="1"/>
    <col min="9" max="25" width="10.5" customWidth="1"/>
  </cols>
  <sheetData>
    <row r="1" spans="1:4" ht="93" customHeight="1" thickBot="1">
      <c r="A1" s="157" t="s">
        <v>157</v>
      </c>
      <c r="B1" s="158"/>
      <c r="C1" s="1"/>
    </row>
    <row r="2" spans="1:4" ht="27.75" customHeight="1" thickBot="1">
      <c r="A2" s="159" t="s">
        <v>149</v>
      </c>
      <c r="B2" s="160"/>
      <c r="C2" s="134" t="s">
        <v>150</v>
      </c>
      <c r="D2" s="133"/>
    </row>
    <row r="3" spans="1:4" ht="12.75" customHeight="1">
      <c r="A3" s="145"/>
      <c r="B3" s="149" t="s">
        <v>0</v>
      </c>
      <c r="C3" s="146" t="s">
        <v>144</v>
      </c>
      <c r="D3" s="1"/>
    </row>
    <row r="4" spans="1:4" ht="12" customHeight="1">
      <c r="A4" s="1"/>
      <c r="B4" s="150" t="s">
        <v>1</v>
      </c>
      <c r="C4" s="147" t="s">
        <v>176</v>
      </c>
      <c r="D4" s="1"/>
    </row>
    <row r="5" spans="1:4" ht="12" customHeight="1">
      <c r="A5" s="1"/>
      <c r="B5" s="150" t="s">
        <v>179</v>
      </c>
      <c r="C5" s="147" t="s">
        <v>174</v>
      </c>
      <c r="D5" s="1"/>
    </row>
    <row r="6" spans="1:4" ht="12" customHeight="1">
      <c r="A6" s="1"/>
      <c r="B6" s="150" t="s">
        <v>2</v>
      </c>
      <c r="C6" s="147" t="s">
        <v>141</v>
      </c>
    </row>
    <row r="7" spans="1:4" ht="12" customHeight="1">
      <c r="A7" s="1"/>
      <c r="B7" s="150" t="s">
        <v>180</v>
      </c>
      <c r="C7" s="147" t="s">
        <v>175</v>
      </c>
    </row>
    <row r="8" spans="1:4" ht="12" customHeight="1">
      <c r="A8" s="1"/>
      <c r="B8" s="150" t="s">
        <v>181</v>
      </c>
      <c r="C8" s="147" t="s">
        <v>143</v>
      </c>
    </row>
    <row r="9" spans="1:4" ht="12" customHeight="1">
      <c r="A9" s="1"/>
      <c r="B9" s="150" t="s">
        <v>182</v>
      </c>
      <c r="C9" s="147" t="s">
        <v>140</v>
      </c>
    </row>
    <row r="10" spans="1:4" ht="12" customHeight="1">
      <c r="A10" s="1"/>
      <c r="B10" s="150" t="s">
        <v>183</v>
      </c>
      <c r="C10" s="147" t="s">
        <v>138</v>
      </c>
    </row>
    <row r="11" spans="1:4" ht="12" customHeight="1">
      <c r="A11" s="1"/>
      <c r="B11" s="150" t="s">
        <v>4</v>
      </c>
      <c r="C11" s="147" t="s">
        <v>177</v>
      </c>
    </row>
    <row r="12" spans="1:4" ht="12" customHeight="1">
      <c r="A12" s="1"/>
      <c r="B12" s="150" t="s">
        <v>184</v>
      </c>
      <c r="C12" s="147" t="s">
        <v>172</v>
      </c>
    </row>
    <row r="13" spans="1:4" ht="12.75" customHeight="1">
      <c r="A13" s="1"/>
      <c r="B13" s="150" t="s">
        <v>6</v>
      </c>
      <c r="C13" s="147" t="s">
        <v>142</v>
      </c>
    </row>
    <row r="14" spans="1:4" ht="12" customHeight="1">
      <c r="A14" s="1"/>
      <c r="B14" s="150" t="s">
        <v>146</v>
      </c>
      <c r="C14" s="147" t="s">
        <v>139</v>
      </c>
    </row>
    <row r="15" spans="1:4" ht="12" customHeight="1" thickBot="1">
      <c r="A15" s="1"/>
      <c r="B15" s="150" t="s">
        <v>185</v>
      </c>
      <c r="C15" s="148" t="s">
        <v>170</v>
      </c>
    </row>
    <row r="16" spans="1:4" ht="12" customHeight="1">
      <c r="A16" s="1"/>
      <c r="B16" s="150" t="s">
        <v>186</v>
      </c>
      <c r="C16" s="1"/>
    </row>
    <row r="17" spans="1:3" ht="12" customHeight="1">
      <c r="A17" s="1"/>
      <c r="B17" s="150" t="s">
        <v>187</v>
      </c>
      <c r="C17" s="1"/>
    </row>
    <row r="18" spans="1:3" ht="12" customHeight="1">
      <c r="A18" s="1"/>
      <c r="B18" s="150" t="s">
        <v>188</v>
      </c>
      <c r="C18" s="1"/>
    </row>
    <row r="19" spans="1:3" ht="12" customHeight="1">
      <c r="A19" s="1"/>
      <c r="B19" s="150" t="s">
        <v>189</v>
      </c>
      <c r="C19" s="1"/>
    </row>
    <row r="20" spans="1:3" ht="12" customHeight="1">
      <c r="A20" s="1"/>
      <c r="B20" s="150" t="s">
        <v>7</v>
      </c>
      <c r="C20" s="1"/>
    </row>
    <row r="21" spans="1:3" ht="12" customHeight="1">
      <c r="A21" s="1"/>
      <c r="B21" s="150" t="s">
        <v>173</v>
      </c>
      <c r="C21" s="1"/>
    </row>
    <row r="22" spans="1:3" ht="12" customHeight="1">
      <c r="A22" s="1"/>
      <c r="B22" s="150" t="s">
        <v>8</v>
      </c>
      <c r="C22" s="1"/>
    </row>
    <row r="23" spans="1:3" ht="12" customHeight="1">
      <c r="A23" s="1"/>
      <c r="B23" s="150" t="s">
        <v>9</v>
      </c>
      <c r="C23" s="1"/>
    </row>
    <row r="24" spans="1:3" ht="12" customHeight="1">
      <c r="A24" s="1"/>
      <c r="B24" s="150" t="s">
        <v>10</v>
      </c>
      <c r="C24" s="1"/>
    </row>
    <row r="25" spans="1:3" ht="12" customHeight="1">
      <c r="A25" s="1"/>
      <c r="B25" s="150" t="s">
        <v>190</v>
      </c>
      <c r="C25" s="1"/>
    </row>
    <row r="26" spans="1:3" ht="12" customHeight="1">
      <c r="A26" s="1"/>
      <c r="B26" s="150" t="s">
        <v>11</v>
      </c>
      <c r="C26" s="1"/>
    </row>
    <row r="27" spans="1:3" ht="12" customHeight="1">
      <c r="A27" s="1"/>
      <c r="B27" s="150" t="s">
        <v>12</v>
      </c>
      <c r="C27" s="1"/>
    </row>
    <row r="28" spans="1:3" ht="12" customHeight="1">
      <c r="A28" s="1"/>
      <c r="B28" s="150" t="s">
        <v>13</v>
      </c>
      <c r="C28" s="1"/>
    </row>
    <row r="29" spans="1:3" ht="12" customHeight="1">
      <c r="A29" s="1"/>
      <c r="B29" s="150" t="s">
        <v>14</v>
      </c>
      <c r="C29" s="1"/>
    </row>
    <row r="30" spans="1:3" ht="12" customHeight="1">
      <c r="A30" s="1"/>
      <c r="B30" s="150" t="s">
        <v>191</v>
      </c>
      <c r="C30" s="1"/>
    </row>
    <row r="31" spans="1:3" ht="12" customHeight="1">
      <c r="A31" s="1"/>
      <c r="B31" s="150" t="s">
        <v>192</v>
      </c>
      <c r="C31" s="1"/>
    </row>
    <row r="32" spans="1:3" ht="12" customHeight="1">
      <c r="A32" s="1"/>
      <c r="B32" s="150" t="s">
        <v>193</v>
      </c>
      <c r="C32" s="1"/>
    </row>
    <row r="33" spans="1:3" ht="12" customHeight="1">
      <c r="A33" s="1"/>
      <c r="B33" s="150" t="s">
        <v>194</v>
      </c>
      <c r="C33" s="1"/>
    </row>
    <row r="34" spans="1:3" ht="12" customHeight="1">
      <c r="A34" s="1"/>
      <c r="B34" s="150" t="s">
        <v>195</v>
      </c>
      <c r="C34" s="1"/>
    </row>
    <row r="35" spans="1:3" ht="12" customHeight="1">
      <c r="A35" s="1"/>
      <c r="B35" s="150" t="s">
        <v>17</v>
      </c>
      <c r="C35" s="1"/>
    </row>
    <row r="36" spans="1:3" ht="12" customHeight="1">
      <c r="A36" s="1"/>
      <c r="B36" s="150" t="s">
        <v>196</v>
      </c>
      <c r="C36" s="1"/>
    </row>
    <row r="37" spans="1:3" ht="12" customHeight="1">
      <c r="A37" s="1"/>
      <c r="B37" s="150" t="s">
        <v>197</v>
      </c>
      <c r="C37" s="1"/>
    </row>
    <row r="38" spans="1:3" ht="12" customHeight="1">
      <c r="A38" s="1"/>
      <c r="B38" s="150" t="s">
        <v>19</v>
      </c>
      <c r="C38" s="1"/>
    </row>
    <row r="39" spans="1:3" ht="12" customHeight="1">
      <c r="A39" s="1"/>
      <c r="B39" s="150" t="s">
        <v>198</v>
      </c>
      <c r="C39" s="1"/>
    </row>
    <row r="40" spans="1:3" ht="12" customHeight="1">
      <c r="A40" s="1"/>
      <c r="B40" s="150" t="s">
        <v>20</v>
      </c>
      <c r="C40" s="1"/>
    </row>
    <row r="41" spans="1:3" ht="12" customHeight="1">
      <c r="A41" s="1"/>
      <c r="B41" s="150" t="s">
        <v>199</v>
      </c>
      <c r="C41" s="1"/>
    </row>
    <row r="42" spans="1:3" ht="12" customHeight="1">
      <c r="A42" s="1"/>
      <c r="B42" s="151" t="s">
        <v>200</v>
      </c>
      <c r="C42" s="1"/>
    </row>
    <row r="43" spans="1:3" ht="12" customHeight="1">
      <c r="A43" s="1"/>
      <c r="B43" s="1"/>
      <c r="C43" s="1"/>
    </row>
    <row r="44" spans="1:3" ht="12" customHeight="1">
      <c r="A44" s="1"/>
      <c r="B44" s="1"/>
      <c r="C44" s="1"/>
    </row>
    <row r="45" spans="1:3" ht="12" customHeight="1">
      <c r="A45" s="1"/>
      <c r="B45" s="1"/>
      <c r="C45" s="1"/>
    </row>
    <row r="46" spans="1:3" ht="12" customHeight="1">
      <c r="A46" s="1"/>
      <c r="B46" s="1"/>
      <c r="C46" s="1"/>
    </row>
    <row r="47" spans="1:3" ht="12" customHeight="1">
      <c r="A47" s="1"/>
      <c r="B47" s="1"/>
      <c r="C47" s="1"/>
    </row>
    <row r="48" spans="1:3" ht="12" customHeight="1">
      <c r="A48" s="1"/>
      <c r="B48" s="1"/>
      <c r="C48" s="1"/>
    </row>
    <row r="49" spans="1:3" ht="12" customHeight="1">
      <c r="A49" s="1"/>
      <c r="B49" s="1"/>
      <c r="C49" s="1"/>
    </row>
    <row r="50" spans="1:3" ht="12" customHeight="1">
      <c r="A50" s="1"/>
      <c r="B50" s="1"/>
      <c r="C50" s="1"/>
    </row>
    <row r="51" spans="1:3" ht="12" customHeight="1">
      <c r="A51" s="1"/>
      <c r="B51" s="1"/>
      <c r="C51" s="1"/>
    </row>
    <row r="52" spans="1:3" ht="12" customHeight="1">
      <c r="A52" s="1"/>
      <c r="B52" s="1"/>
      <c r="C52" s="1"/>
    </row>
    <row r="53" spans="1:3" ht="12" customHeight="1">
      <c r="A53" s="1"/>
      <c r="B53" s="1"/>
      <c r="C53" s="1"/>
    </row>
    <row r="54" spans="1:3" ht="12" customHeight="1">
      <c r="A54" s="1"/>
      <c r="B54" s="1"/>
      <c r="C54" s="1"/>
    </row>
    <row r="55" spans="1:3" ht="12" customHeight="1">
      <c r="A55" s="1"/>
      <c r="B55" s="1"/>
      <c r="C55" s="1"/>
    </row>
    <row r="56" spans="1:3" ht="12" customHeight="1">
      <c r="A56" s="1"/>
      <c r="B56" s="1"/>
      <c r="C56" s="1"/>
    </row>
    <row r="57" spans="1:3" ht="12" customHeight="1">
      <c r="A57" s="1"/>
      <c r="B57" s="1"/>
      <c r="C57" s="1"/>
    </row>
    <row r="58" spans="1:3" ht="12" customHeight="1">
      <c r="A58" s="1"/>
      <c r="B58" s="1"/>
      <c r="C58" s="1"/>
    </row>
    <row r="59" spans="1:3" ht="12" customHeight="1">
      <c r="A59" s="1"/>
      <c r="B59" s="1"/>
      <c r="C59" s="1"/>
    </row>
    <row r="60" spans="1:3" ht="12" customHeight="1">
      <c r="A60" s="1"/>
      <c r="B60" s="1"/>
      <c r="C60" s="1"/>
    </row>
    <row r="61" spans="1:3" ht="12" customHeight="1">
      <c r="A61" s="1"/>
      <c r="B61" s="1"/>
      <c r="C61" s="1"/>
    </row>
    <row r="62" spans="1:3" ht="12" customHeight="1">
      <c r="A62" s="1"/>
      <c r="B62" s="1"/>
      <c r="C62" s="1"/>
    </row>
    <row r="63" spans="1:3" ht="12" customHeight="1">
      <c r="A63" s="1"/>
      <c r="B63" s="1"/>
      <c r="C63" s="1"/>
    </row>
  </sheetData>
  <sortState xmlns:xlrd2="http://schemas.microsoft.com/office/spreadsheetml/2017/richdata2" ref="C4:C14">
    <sortCondition ref="C3:C14"/>
  </sortState>
  <mergeCells count="2">
    <mergeCell ref="A1:B1"/>
    <mergeCell ref="A2:B2"/>
  </mergeCells>
  <pageMargins left="0.25" right="0.25" top="0.75" bottom="0.75" header="0.3" footer="0.3"/>
  <pageSetup orientation="portrait" r:id="rId1"/>
  <headerFooter>
    <oddHeader>&amp;L&amp;"Calibri,Regular"&amp;K000000Instructions Options Sheet</oddHeader>
    <oddFooter>&amp;R&amp;"Calibri,Regular"&amp;K000000&amp;P/&amp;N</oddFooter>
  </headerFooter>
  <rowBreaks count="1" manualBreakCount="1">
    <brk id="42"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999"/>
  <sheetViews>
    <sheetView tabSelected="1" zoomScale="110" zoomScaleNormal="110" workbookViewId="0">
      <pane xSplit="2" ySplit="4" topLeftCell="C9" activePane="bottomRight" state="frozen"/>
      <selection pane="topRight" activeCell="C1" sqref="C1"/>
      <selection pane="bottomLeft" activeCell="A5" sqref="A5"/>
      <selection pane="bottomRight" activeCell="M47" sqref="M47"/>
    </sheetView>
  </sheetViews>
  <sheetFormatPr defaultColWidth="11.09765625" defaultRowHeight="15" customHeight="1"/>
  <cols>
    <col min="1" max="1" width="4.09765625" customWidth="1"/>
    <col min="2" max="2" width="48.3984375" customWidth="1"/>
    <col min="3" max="3" width="6.59765625" customWidth="1"/>
    <col min="4" max="6" width="6.3984375" customWidth="1"/>
    <col min="7" max="8" width="8.3984375" customWidth="1"/>
    <col min="9" max="9" width="9.8984375" customWidth="1"/>
    <col min="10" max="10" width="12" customWidth="1"/>
    <col min="11" max="11" width="11.8984375" customWidth="1"/>
    <col min="12" max="12" width="10.3984375" customWidth="1"/>
    <col min="13" max="13" width="11.09765625" customWidth="1"/>
    <col min="14" max="14" width="8.59765625" bestFit="1" customWidth="1"/>
    <col min="15" max="15" width="8.59765625" customWidth="1"/>
    <col min="16" max="16" width="12.09765625" customWidth="1"/>
    <col min="17" max="17" width="10.59765625" customWidth="1"/>
    <col min="18" max="18" width="14.09765625" customWidth="1"/>
    <col min="19" max="19" width="12.59765625" customWidth="1"/>
    <col min="20" max="20" width="14.09765625" customWidth="1"/>
    <col min="21" max="22" width="10.59765625" customWidth="1"/>
    <col min="23" max="24" width="9.59765625" customWidth="1"/>
    <col min="25" max="25" width="10" customWidth="1"/>
    <col min="26" max="26" width="5.3984375" customWidth="1"/>
    <col min="27" max="27" width="9.5" customWidth="1"/>
    <col min="28" max="28" width="10.59765625" customWidth="1"/>
    <col min="29" max="29" width="9.5" customWidth="1"/>
    <col min="30" max="31" width="9.09765625" customWidth="1"/>
    <col min="32" max="32" width="8.59765625" customWidth="1"/>
    <col min="33" max="33" width="9.09765625" customWidth="1"/>
    <col min="34" max="34" width="9.5" customWidth="1"/>
    <col min="35" max="35" width="9.09765625" customWidth="1"/>
    <col min="36" max="36" width="10.5" customWidth="1"/>
    <col min="37" max="37" width="9.59765625" customWidth="1"/>
    <col min="38" max="39" width="9.09765625" customWidth="1"/>
    <col min="40" max="40" width="9.59765625" customWidth="1"/>
    <col min="41" max="41" width="10.5" customWidth="1"/>
    <col min="42" max="42" width="8.59765625" customWidth="1"/>
    <col min="43" max="43" width="9.09765625" customWidth="1"/>
    <col min="44" max="44" width="9.5" customWidth="1"/>
    <col min="45" max="45" width="9.09765625" customWidth="1"/>
    <col min="46" max="46" width="10.5" customWidth="1"/>
    <col min="47" max="47" width="9.59765625" customWidth="1"/>
    <col min="48" max="48" width="9.09765625" customWidth="1"/>
    <col min="49" max="49" width="73.59765625" customWidth="1"/>
    <col min="50" max="50" width="10.59765625" customWidth="1"/>
  </cols>
  <sheetData>
    <row r="1" spans="1:49" ht="15.75" customHeight="1" thickBot="1">
      <c r="A1" s="207" t="s">
        <v>201</v>
      </c>
      <c r="B1" s="208"/>
      <c r="C1" s="208"/>
      <c r="D1" s="208"/>
      <c r="E1" s="209"/>
      <c r="F1" s="2"/>
      <c r="G1" s="2"/>
      <c r="H1" s="2"/>
      <c r="I1" s="3"/>
      <c r="J1" s="3"/>
      <c r="K1" s="3"/>
      <c r="L1" s="3"/>
      <c r="M1" s="3"/>
      <c r="N1" s="3"/>
      <c r="O1" s="3"/>
      <c r="P1" s="161" t="s">
        <v>21</v>
      </c>
      <c r="Q1" s="162"/>
      <c r="R1" s="162"/>
      <c r="S1" s="162"/>
      <c r="T1" s="162"/>
      <c r="U1" s="163"/>
      <c r="V1" s="161" t="s">
        <v>21</v>
      </c>
      <c r="W1" s="162"/>
      <c r="X1" s="162"/>
      <c r="Y1" s="162"/>
      <c r="Z1" s="162"/>
      <c r="AA1" s="162"/>
      <c r="AB1" s="162"/>
      <c r="AC1" s="167"/>
      <c r="AD1" s="5"/>
      <c r="AE1" s="98"/>
      <c r="AF1" s="4"/>
      <c r="AG1" s="4"/>
      <c r="AH1" s="4"/>
      <c r="AI1" s="4"/>
      <c r="AJ1" s="4"/>
      <c r="AK1" s="4"/>
      <c r="AL1" s="4"/>
      <c r="AM1" s="4" t="s">
        <v>56</v>
      </c>
      <c r="AN1" s="4"/>
      <c r="AO1" s="3"/>
      <c r="AP1" s="4"/>
      <c r="AQ1" s="4"/>
      <c r="AR1" s="4"/>
      <c r="AS1" s="4"/>
      <c r="AT1" s="4"/>
      <c r="AU1" s="4"/>
      <c r="AV1" s="4"/>
      <c r="AW1" s="4"/>
    </row>
    <row r="2" spans="1:49" ht="16.5" customHeight="1" thickBot="1">
      <c r="A2" s="204" t="s">
        <v>125</v>
      </c>
      <c r="B2" s="205"/>
      <c r="C2" s="205"/>
      <c r="D2" s="205"/>
      <c r="E2" s="206"/>
      <c r="F2" s="2"/>
      <c r="G2" s="2"/>
      <c r="H2" s="2"/>
      <c r="I2" s="4"/>
      <c r="J2" s="4"/>
      <c r="K2" s="4"/>
      <c r="L2" s="4"/>
      <c r="M2" s="4"/>
      <c r="N2" s="4"/>
      <c r="O2" s="4"/>
      <c r="P2" s="164"/>
      <c r="Q2" s="165"/>
      <c r="R2" s="165"/>
      <c r="S2" s="165"/>
      <c r="T2" s="165"/>
      <c r="U2" s="166"/>
      <c r="V2" s="164"/>
      <c r="W2" s="165"/>
      <c r="X2" s="165"/>
      <c r="Y2" s="165"/>
      <c r="Z2" s="165"/>
      <c r="AA2" s="165"/>
      <c r="AB2" s="165"/>
      <c r="AC2" s="168"/>
      <c r="AD2" s="7"/>
      <c r="AE2" s="99"/>
      <c r="AF2" s="4"/>
      <c r="AG2" s="4"/>
      <c r="AH2" s="4"/>
      <c r="AI2" s="4"/>
      <c r="AJ2" s="4"/>
      <c r="AK2" s="4"/>
      <c r="AL2" s="3"/>
      <c r="AM2" s="4"/>
      <c r="AN2" s="4"/>
      <c r="AO2" s="4"/>
      <c r="AP2" s="4"/>
      <c r="AQ2" s="4"/>
      <c r="AR2" s="4"/>
      <c r="AS2" s="4"/>
      <c r="AT2" s="4"/>
      <c r="AU2" s="4"/>
      <c r="AV2" s="3"/>
      <c r="AW2" s="4"/>
    </row>
    <row r="3" spans="1:49" ht="116.1" customHeight="1" thickBot="1">
      <c r="A3" s="210" t="s">
        <v>22</v>
      </c>
      <c r="B3" s="211" t="s">
        <v>23</v>
      </c>
      <c r="C3" s="212" t="s">
        <v>24</v>
      </c>
      <c r="D3" s="213"/>
      <c r="E3" s="214" t="s">
        <v>25</v>
      </c>
      <c r="F3" s="213"/>
      <c r="G3" s="8" t="s">
        <v>26</v>
      </c>
      <c r="H3" s="172" t="s">
        <v>155</v>
      </c>
      <c r="I3" s="194" t="s">
        <v>151</v>
      </c>
      <c r="J3" s="200" t="s">
        <v>152</v>
      </c>
      <c r="K3" s="201"/>
      <c r="L3" s="196" t="s">
        <v>130</v>
      </c>
      <c r="M3" s="198" t="s">
        <v>27</v>
      </c>
      <c r="N3" s="202" t="s">
        <v>28</v>
      </c>
      <c r="O3" s="188" t="s">
        <v>29</v>
      </c>
      <c r="P3" s="169" t="s">
        <v>158</v>
      </c>
      <c r="Q3" s="170"/>
      <c r="R3" s="170"/>
      <c r="S3" s="170"/>
      <c r="T3" s="171"/>
      <c r="U3" s="176" t="s">
        <v>30</v>
      </c>
      <c r="V3" s="169" t="s">
        <v>159</v>
      </c>
      <c r="W3" s="170"/>
      <c r="X3" s="170"/>
      <c r="Y3" s="170"/>
      <c r="Z3" s="170"/>
      <c r="AA3" s="170"/>
      <c r="AB3" s="170"/>
      <c r="AC3" s="171"/>
      <c r="AD3" s="180" t="s">
        <v>31</v>
      </c>
      <c r="AE3" s="180" t="s">
        <v>133</v>
      </c>
      <c r="AF3" s="190" t="s">
        <v>160</v>
      </c>
      <c r="AG3" s="191"/>
      <c r="AH3" s="191"/>
      <c r="AI3" s="191"/>
      <c r="AJ3" s="191"/>
      <c r="AK3" s="191"/>
      <c r="AL3" s="192" t="s">
        <v>171</v>
      </c>
      <c r="AM3" s="186" t="s">
        <v>161</v>
      </c>
      <c r="AN3" s="187"/>
      <c r="AO3" s="178" t="s">
        <v>178</v>
      </c>
      <c r="AP3" s="182" t="s">
        <v>168</v>
      </c>
      <c r="AQ3" s="183"/>
      <c r="AR3" s="183"/>
      <c r="AS3" s="183"/>
      <c r="AT3" s="183"/>
      <c r="AU3" s="183"/>
      <c r="AV3" s="184" t="s">
        <v>145</v>
      </c>
      <c r="AW3" s="174" t="s">
        <v>32</v>
      </c>
    </row>
    <row r="4" spans="1:49" ht="75" customHeight="1" thickBot="1">
      <c r="A4" s="177"/>
      <c r="B4" s="177"/>
      <c r="C4" s="9" t="s">
        <v>33</v>
      </c>
      <c r="D4" s="10" t="s">
        <v>34</v>
      </c>
      <c r="E4" s="11" t="s">
        <v>33</v>
      </c>
      <c r="F4" s="10" t="s">
        <v>34</v>
      </c>
      <c r="G4" s="10" t="s">
        <v>35</v>
      </c>
      <c r="H4" s="173"/>
      <c r="I4" s="195"/>
      <c r="J4" s="106" t="s">
        <v>131</v>
      </c>
      <c r="K4" s="107" t="s">
        <v>132</v>
      </c>
      <c r="L4" s="197"/>
      <c r="M4" s="199"/>
      <c r="N4" s="203"/>
      <c r="O4" s="189"/>
      <c r="P4" s="12" t="s">
        <v>36</v>
      </c>
      <c r="Q4" s="13" t="s">
        <v>37</v>
      </c>
      <c r="R4" s="13" t="s">
        <v>38</v>
      </c>
      <c r="S4" s="13" t="s">
        <v>39</v>
      </c>
      <c r="T4" s="14" t="s">
        <v>40</v>
      </c>
      <c r="U4" s="177"/>
      <c r="V4" s="15" t="s">
        <v>41</v>
      </c>
      <c r="W4" s="16" t="s">
        <v>42</v>
      </c>
      <c r="X4" s="16" t="s">
        <v>43</v>
      </c>
      <c r="Y4" s="16" t="s">
        <v>44</v>
      </c>
      <c r="Z4" s="16" t="s">
        <v>45</v>
      </c>
      <c r="AA4" s="16" t="s">
        <v>46</v>
      </c>
      <c r="AB4" s="16" t="s">
        <v>47</v>
      </c>
      <c r="AC4" s="17" t="s">
        <v>48</v>
      </c>
      <c r="AD4" s="177"/>
      <c r="AE4" s="181"/>
      <c r="AF4" s="18" t="s">
        <v>49</v>
      </c>
      <c r="AG4" s="19" t="s">
        <v>50</v>
      </c>
      <c r="AH4" s="125" t="s">
        <v>51</v>
      </c>
      <c r="AI4" s="19" t="s">
        <v>50</v>
      </c>
      <c r="AJ4" s="128" t="s">
        <v>52</v>
      </c>
      <c r="AK4" s="102" t="s">
        <v>53</v>
      </c>
      <c r="AL4" s="193"/>
      <c r="AM4" s="103" t="s">
        <v>54</v>
      </c>
      <c r="AN4" s="94" t="s">
        <v>55</v>
      </c>
      <c r="AO4" s="179"/>
      <c r="AP4" s="119" t="s">
        <v>135</v>
      </c>
      <c r="AQ4" s="120" t="s">
        <v>134</v>
      </c>
      <c r="AR4" s="119" t="s">
        <v>136</v>
      </c>
      <c r="AS4" s="120" t="s">
        <v>134</v>
      </c>
      <c r="AT4" s="119" t="s">
        <v>137</v>
      </c>
      <c r="AU4" s="120" t="s">
        <v>134</v>
      </c>
      <c r="AV4" s="185"/>
      <c r="AW4" s="175"/>
    </row>
    <row r="5" spans="1:49" ht="15.6" hidden="1">
      <c r="A5" s="20">
        <v>0</v>
      </c>
      <c r="B5" s="21" t="s">
        <v>126</v>
      </c>
      <c r="C5" s="22">
        <v>1</v>
      </c>
      <c r="D5" s="22">
        <v>0</v>
      </c>
      <c r="E5" s="22">
        <v>0</v>
      </c>
      <c r="F5" s="22">
        <v>0</v>
      </c>
      <c r="G5" s="22">
        <v>0</v>
      </c>
      <c r="H5" s="131" t="s">
        <v>153</v>
      </c>
      <c r="I5" s="22">
        <v>0</v>
      </c>
      <c r="J5" s="105">
        <v>0</v>
      </c>
      <c r="K5" s="105">
        <v>0</v>
      </c>
      <c r="L5" s="23">
        <v>40</v>
      </c>
      <c r="M5" s="23">
        <v>5</v>
      </c>
      <c r="N5" s="92">
        <v>75000</v>
      </c>
      <c r="O5" s="93"/>
      <c r="P5" s="24">
        <v>0.05</v>
      </c>
      <c r="Q5" s="25">
        <v>0.05</v>
      </c>
      <c r="R5" s="25">
        <v>0.05</v>
      </c>
      <c r="S5" s="25">
        <v>0.1</v>
      </c>
      <c r="T5" s="25">
        <v>0.05</v>
      </c>
      <c r="U5" s="26">
        <f t="shared" ref="U5:U60" si="0">SUM(P5:T5)</f>
        <v>0.3</v>
      </c>
      <c r="V5" s="27">
        <v>0.05</v>
      </c>
      <c r="W5" s="28">
        <v>0.1</v>
      </c>
      <c r="X5" s="28">
        <v>0.1</v>
      </c>
      <c r="Y5" s="28">
        <v>0.2</v>
      </c>
      <c r="Z5" s="28">
        <v>0.05</v>
      </c>
      <c r="AA5" s="28">
        <v>0.05</v>
      </c>
      <c r="AB5" s="28">
        <v>0.05</v>
      </c>
      <c r="AC5" s="28">
        <v>0.1</v>
      </c>
      <c r="AD5" s="26">
        <f t="shared" ref="AD5:AD60" si="1">SUM(V5:AC5)</f>
        <v>0.70000000000000007</v>
      </c>
      <c r="AE5" s="100">
        <f>AD5+U5</f>
        <v>1</v>
      </c>
      <c r="AF5" s="75" t="s">
        <v>5</v>
      </c>
      <c r="AG5" s="29">
        <v>0.5</v>
      </c>
      <c r="AH5" s="75" t="s">
        <v>6</v>
      </c>
      <c r="AI5" s="29">
        <v>0.2</v>
      </c>
      <c r="AJ5" s="75" t="s">
        <v>8</v>
      </c>
      <c r="AK5" s="126">
        <v>0.3</v>
      </c>
      <c r="AL5" s="104">
        <f>SUM(AK5,AI5,AG5)</f>
        <v>1</v>
      </c>
      <c r="AM5" s="30">
        <v>60000</v>
      </c>
      <c r="AN5" s="95">
        <v>85000</v>
      </c>
      <c r="AO5" s="116">
        <v>0.5</v>
      </c>
      <c r="AP5" s="117" t="s">
        <v>138</v>
      </c>
      <c r="AQ5" s="118">
        <v>0.5</v>
      </c>
      <c r="AR5" s="117"/>
      <c r="AS5" s="118"/>
      <c r="AT5" s="117"/>
      <c r="AU5" s="124"/>
      <c r="AV5" s="104">
        <f>SUM(AU5,AS5,AQ5)</f>
        <v>0.5</v>
      </c>
      <c r="AW5" s="31"/>
    </row>
    <row r="6" spans="1:49" ht="15.6" hidden="1">
      <c r="A6" s="32">
        <v>0</v>
      </c>
      <c r="B6" s="33" t="s">
        <v>127</v>
      </c>
      <c r="C6" s="34">
        <v>1</v>
      </c>
      <c r="D6" s="34">
        <v>0</v>
      </c>
      <c r="E6" s="34">
        <v>0</v>
      </c>
      <c r="F6" s="34">
        <v>0</v>
      </c>
      <c r="G6" s="129">
        <v>0</v>
      </c>
      <c r="H6" s="132" t="s">
        <v>154</v>
      </c>
      <c r="I6" s="130">
        <v>0</v>
      </c>
      <c r="J6" s="105">
        <v>0</v>
      </c>
      <c r="K6" s="34">
        <v>0</v>
      </c>
      <c r="L6" s="35">
        <v>40</v>
      </c>
      <c r="M6" s="35">
        <v>2</v>
      </c>
      <c r="N6" s="91">
        <v>55000</v>
      </c>
      <c r="O6" s="89"/>
      <c r="P6" s="37">
        <v>0</v>
      </c>
      <c r="Q6" s="38">
        <v>0</v>
      </c>
      <c r="R6" s="38">
        <v>0.85</v>
      </c>
      <c r="S6" s="38">
        <v>0</v>
      </c>
      <c r="T6" s="38">
        <v>0</v>
      </c>
      <c r="U6" s="39">
        <f t="shared" si="0"/>
        <v>0.85</v>
      </c>
      <c r="V6" s="40">
        <v>0.05</v>
      </c>
      <c r="W6" s="41"/>
      <c r="X6" s="41">
        <v>0.05</v>
      </c>
      <c r="Y6" s="41"/>
      <c r="Z6" s="41"/>
      <c r="AA6" s="41">
        <v>0.05</v>
      </c>
      <c r="AB6" s="41"/>
      <c r="AC6" s="41"/>
      <c r="AD6" s="39">
        <f t="shared" si="1"/>
        <v>0.15000000000000002</v>
      </c>
      <c r="AE6" s="101">
        <f t="shared" ref="AE6:AE60" si="2">AD6+U6</f>
        <v>1</v>
      </c>
      <c r="AF6" s="75" t="s">
        <v>147</v>
      </c>
      <c r="AG6" s="42">
        <v>0.15</v>
      </c>
      <c r="AH6" s="75" t="s">
        <v>15</v>
      </c>
      <c r="AI6" s="42">
        <v>0.15</v>
      </c>
      <c r="AJ6" s="75" t="s">
        <v>18</v>
      </c>
      <c r="AK6" s="127">
        <v>0.05</v>
      </c>
      <c r="AL6" s="101">
        <f t="shared" ref="AL6:AL60" si="3">SUM(AK6,AI6,AG6)</f>
        <v>0.35</v>
      </c>
      <c r="AM6" s="43">
        <v>35000</v>
      </c>
      <c r="AN6" s="96">
        <v>58000</v>
      </c>
      <c r="AO6" s="114">
        <v>0</v>
      </c>
      <c r="AP6" s="117"/>
      <c r="AQ6" s="115"/>
      <c r="AR6" s="117"/>
      <c r="AS6" s="121"/>
      <c r="AT6" s="117"/>
      <c r="AU6" s="123"/>
      <c r="AV6" s="101">
        <f t="shared" ref="AV6:AV60" si="4">SUM(AU6,AS6,AQ6)</f>
        <v>0</v>
      </c>
      <c r="AW6" s="44"/>
    </row>
    <row r="7" spans="1:49" ht="57.6" hidden="1">
      <c r="A7" s="32">
        <v>0</v>
      </c>
      <c r="B7" s="33" t="s">
        <v>128</v>
      </c>
      <c r="C7" s="34">
        <v>1</v>
      </c>
      <c r="D7" s="34">
        <v>0</v>
      </c>
      <c r="E7" s="34">
        <v>0</v>
      </c>
      <c r="F7" s="34">
        <v>0</v>
      </c>
      <c r="G7" s="129">
        <v>0</v>
      </c>
      <c r="H7" s="132" t="s">
        <v>153</v>
      </c>
      <c r="I7" s="130">
        <v>0</v>
      </c>
      <c r="J7" s="105">
        <v>0</v>
      </c>
      <c r="K7" s="34">
        <v>0</v>
      </c>
      <c r="L7" s="35">
        <v>40</v>
      </c>
      <c r="M7" s="35">
        <v>0</v>
      </c>
      <c r="N7" s="90">
        <v>54500</v>
      </c>
      <c r="O7" s="36"/>
      <c r="P7" s="37">
        <v>0.6</v>
      </c>
      <c r="Q7" s="38">
        <v>0</v>
      </c>
      <c r="R7" s="38">
        <v>0</v>
      </c>
      <c r="S7" s="38">
        <v>0</v>
      </c>
      <c r="T7" s="38">
        <v>0.1</v>
      </c>
      <c r="U7" s="39">
        <f t="shared" si="0"/>
        <v>0.7</v>
      </c>
      <c r="V7" s="40">
        <v>0.2</v>
      </c>
      <c r="W7" s="41"/>
      <c r="X7" s="41">
        <v>0.1</v>
      </c>
      <c r="Y7" s="41"/>
      <c r="Z7" s="41"/>
      <c r="AA7" s="41"/>
      <c r="AB7" s="41"/>
      <c r="AC7" s="41"/>
      <c r="AD7" s="39">
        <f t="shared" si="1"/>
        <v>0.30000000000000004</v>
      </c>
      <c r="AE7" s="101">
        <f t="shared" si="2"/>
        <v>1</v>
      </c>
      <c r="AF7" s="75" t="s">
        <v>3</v>
      </c>
      <c r="AG7" s="42">
        <v>0.5</v>
      </c>
      <c r="AH7" s="75" t="s">
        <v>148</v>
      </c>
      <c r="AI7" s="42">
        <v>0.2</v>
      </c>
      <c r="AJ7" s="75" t="s">
        <v>16</v>
      </c>
      <c r="AK7" s="127">
        <v>0.1</v>
      </c>
      <c r="AL7" s="101">
        <f t="shared" si="3"/>
        <v>0.8</v>
      </c>
      <c r="AM7" s="43">
        <v>45000</v>
      </c>
      <c r="AN7" s="96">
        <v>60000</v>
      </c>
      <c r="AO7" s="114">
        <v>1</v>
      </c>
      <c r="AP7" s="117" t="s">
        <v>175</v>
      </c>
      <c r="AQ7" s="115">
        <v>0.4</v>
      </c>
      <c r="AR7" s="117" t="s">
        <v>174</v>
      </c>
      <c r="AS7" s="122">
        <v>0.4</v>
      </c>
      <c r="AT7" s="117" t="s">
        <v>141</v>
      </c>
      <c r="AU7" s="123">
        <v>0.2</v>
      </c>
      <c r="AV7" s="101">
        <f t="shared" si="4"/>
        <v>1</v>
      </c>
      <c r="AW7" s="44"/>
    </row>
    <row r="8" spans="1:49" ht="72" hidden="1">
      <c r="A8" s="32">
        <v>0</v>
      </c>
      <c r="B8" s="33" t="s">
        <v>129</v>
      </c>
      <c r="C8" s="34">
        <v>1</v>
      </c>
      <c r="D8" s="34">
        <v>0</v>
      </c>
      <c r="E8" s="34">
        <v>0</v>
      </c>
      <c r="F8" s="34">
        <v>0</v>
      </c>
      <c r="G8" s="129">
        <v>0</v>
      </c>
      <c r="H8" s="132" t="s">
        <v>153</v>
      </c>
      <c r="I8" s="130">
        <v>0</v>
      </c>
      <c r="J8" s="105">
        <v>0</v>
      </c>
      <c r="K8" s="34">
        <v>0</v>
      </c>
      <c r="L8" s="35">
        <v>40</v>
      </c>
      <c r="M8" s="35">
        <v>0</v>
      </c>
      <c r="N8" s="45"/>
      <c r="O8" s="36">
        <v>18</v>
      </c>
      <c r="P8" s="37">
        <v>0</v>
      </c>
      <c r="Q8" s="38">
        <v>0</v>
      </c>
      <c r="R8" s="38">
        <v>0</v>
      </c>
      <c r="S8" s="38">
        <v>0</v>
      </c>
      <c r="T8" s="38">
        <v>0</v>
      </c>
      <c r="U8" s="39">
        <f t="shared" si="0"/>
        <v>0</v>
      </c>
      <c r="V8" s="40">
        <v>0</v>
      </c>
      <c r="W8" s="41">
        <v>0</v>
      </c>
      <c r="X8" s="41">
        <v>0</v>
      </c>
      <c r="Y8" s="41">
        <v>0.1</v>
      </c>
      <c r="Z8" s="41">
        <v>0</v>
      </c>
      <c r="AA8" s="41">
        <v>0</v>
      </c>
      <c r="AB8" s="41">
        <v>0.05</v>
      </c>
      <c r="AC8" s="41">
        <v>0.1</v>
      </c>
      <c r="AD8" s="39">
        <f t="shared" si="1"/>
        <v>0.25</v>
      </c>
      <c r="AE8" s="101">
        <f t="shared" si="2"/>
        <v>0.25</v>
      </c>
      <c r="AF8" s="75" t="s">
        <v>1</v>
      </c>
      <c r="AG8" s="42">
        <v>0.85</v>
      </c>
      <c r="AH8" s="75" t="s">
        <v>4</v>
      </c>
      <c r="AI8" s="42">
        <v>0.15</v>
      </c>
      <c r="AJ8" s="75"/>
      <c r="AK8" s="127"/>
      <c r="AL8" s="101">
        <f t="shared" si="3"/>
        <v>1</v>
      </c>
      <c r="AM8" s="43">
        <v>13</v>
      </c>
      <c r="AN8" s="96">
        <v>20</v>
      </c>
      <c r="AO8" s="114">
        <v>0.5</v>
      </c>
      <c r="AP8" s="117" t="s">
        <v>172</v>
      </c>
      <c r="AQ8" s="115">
        <v>1</v>
      </c>
      <c r="AR8" s="117"/>
      <c r="AS8" s="122"/>
      <c r="AT8" s="117"/>
      <c r="AU8" s="123"/>
      <c r="AV8" s="101">
        <f t="shared" si="4"/>
        <v>1</v>
      </c>
      <c r="AW8" s="44"/>
    </row>
    <row r="9" spans="1:49" ht="15.6">
      <c r="A9" s="32">
        <v>1</v>
      </c>
      <c r="B9" s="33" t="s">
        <v>202</v>
      </c>
      <c r="C9" s="34">
        <v>1</v>
      </c>
      <c r="D9" s="34">
        <v>0</v>
      </c>
      <c r="E9" s="34"/>
      <c r="F9" s="34"/>
      <c r="G9" s="129">
        <v>0</v>
      </c>
      <c r="H9" s="132" t="s">
        <v>153</v>
      </c>
      <c r="I9" s="130"/>
      <c r="J9" s="34"/>
      <c r="K9" s="34"/>
      <c r="L9" s="35">
        <v>40</v>
      </c>
      <c r="M9" s="35"/>
      <c r="N9" s="45" t="s">
        <v>56</v>
      </c>
      <c r="O9" s="36">
        <v>58.81</v>
      </c>
      <c r="P9" s="37"/>
      <c r="Q9" s="38"/>
      <c r="R9" s="38"/>
      <c r="S9" s="38"/>
      <c r="T9" s="38"/>
      <c r="U9" s="39">
        <f t="shared" si="0"/>
        <v>0</v>
      </c>
      <c r="V9" s="40"/>
      <c r="W9" s="41">
        <v>0.2</v>
      </c>
      <c r="X9" s="41">
        <v>0.2</v>
      </c>
      <c r="Y9" s="41">
        <v>0.2</v>
      </c>
      <c r="Z9" s="41">
        <v>0.05</v>
      </c>
      <c r="AA9" s="41">
        <v>0.05</v>
      </c>
      <c r="AB9" s="41">
        <v>0.2</v>
      </c>
      <c r="AC9" s="41">
        <v>0.1</v>
      </c>
      <c r="AD9" s="39">
        <f t="shared" si="1"/>
        <v>1.0000000000000002</v>
      </c>
      <c r="AE9" s="101">
        <f t="shared" si="2"/>
        <v>1.0000000000000002</v>
      </c>
      <c r="AF9" s="75" t="s">
        <v>184</v>
      </c>
      <c r="AG9" s="42">
        <v>0.5</v>
      </c>
      <c r="AH9" s="75" t="s">
        <v>8</v>
      </c>
      <c r="AI9" s="42">
        <v>0.1</v>
      </c>
      <c r="AJ9" s="75" t="s">
        <v>195</v>
      </c>
      <c r="AK9" s="127">
        <v>0.1</v>
      </c>
      <c r="AL9" s="101">
        <f t="shared" si="3"/>
        <v>0.7</v>
      </c>
      <c r="AM9" s="43">
        <v>51</v>
      </c>
      <c r="AN9" s="96">
        <v>60</v>
      </c>
      <c r="AO9" s="114">
        <v>0</v>
      </c>
      <c r="AP9" s="152"/>
      <c r="AQ9" s="115"/>
      <c r="AR9" s="152"/>
      <c r="AS9" s="122"/>
      <c r="AT9" s="152"/>
      <c r="AU9" s="123"/>
      <c r="AV9" s="101">
        <f t="shared" si="4"/>
        <v>0</v>
      </c>
      <c r="AW9" s="44"/>
    </row>
    <row r="10" spans="1:49" ht="15.6">
      <c r="A10" s="32">
        <v>2</v>
      </c>
      <c r="B10" s="33" t="s">
        <v>203</v>
      </c>
      <c r="C10" s="34">
        <v>1</v>
      </c>
      <c r="D10" s="34">
        <v>0</v>
      </c>
      <c r="E10" s="34"/>
      <c r="F10" s="34"/>
      <c r="G10" s="129">
        <v>0</v>
      </c>
      <c r="H10" s="132" t="s">
        <v>153</v>
      </c>
      <c r="I10" s="130"/>
      <c r="J10" s="34"/>
      <c r="K10" s="34"/>
      <c r="L10" s="35">
        <v>40</v>
      </c>
      <c r="M10" s="35"/>
      <c r="N10" s="45" t="s">
        <v>56</v>
      </c>
      <c r="O10" s="36">
        <v>33.4</v>
      </c>
      <c r="P10" s="37"/>
      <c r="Q10" s="38"/>
      <c r="R10" s="38"/>
      <c r="S10" s="38"/>
      <c r="T10" s="38"/>
      <c r="U10" s="39">
        <f t="shared" si="0"/>
        <v>0</v>
      </c>
      <c r="V10" s="40"/>
      <c r="W10" s="41"/>
      <c r="X10" s="41">
        <v>0.1</v>
      </c>
      <c r="Y10" s="41">
        <v>0.05</v>
      </c>
      <c r="Z10" s="41">
        <v>0.05</v>
      </c>
      <c r="AA10" s="41">
        <v>0.05</v>
      </c>
      <c r="AB10" s="41"/>
      <c r="AC10" s="41">
        <v>0.75</v>
      </c>
      <c r="AD10" s="39">
        <f t="shared" si="1"/>
        <v>1</v>
      </c>
      <c r="AE10" s="101">
        <f t="shared" si="2"/>
        <v>1</v>
      </c>
      <c r="AF10" s="75" t="s">
        <v>4</v>
      </c>
      <c r="AG10" s="42">
        <v>0.95</v>
      </c>
      <c r="AH10" s="75" t="s">
        <v>6</v>
      </c>
      <c r="AI10" s="42">
        <v>0.05</v>
      </c>
      <c r="AJ10" s="75"/>
      <c r="AK10" s="127"/>
      <c r="AL10" s="101">
        <f t="shared" si="3"/>
        <v>1</v>
      </c>
      <c r="AM10" s="43">
        <v>31</v>
      </c>
      <c r="AN10" s="96">
        <v>37</v>
      </c>
      <c r="AO10" s="114">
        <v>0</v>
      </c>
      <c r="AP10" s="152"/>
      <c r="AQ10" s="115"/>
      <c r="AR10" s="152"/>
      <c r="AS10" s="122"/>
      <c r="AT10" s="152"/>
      <c r="AU10" s="123"/>
      <c r="AV10" s="101">
        <f t="shared" si="4"/>
        <v>0</v>
      </c>
      <c r="AW10" s="44"/>
    </row>
    <row r="11" spans="1:49" ht="72">
      <c r="A11" s="32">
        <v>3</v>
      </c>
      <c r="B11" s="33" t="s">
        <v>204</v>
      </c>
      <c r="C11" s="34">
        <v>1</v>
      </c>
      <c r="D11" s="34">
        <v>0</v>
      </c>
      <c r="E11" s="34"/>
      <c r="F11" s="34"/>
      <c r="G11" s="129">
        <v>0</v>
      </c>
      <c r="H11" s="132" t="s">
        <v>239</v>
      </c>
      <c r="I11" s="130"/>
      <c r="J11" s="34"/>
      <c r="K11" s="34"/>
      <c r="L11" s="35">
        <v>40</v>
      </c>
      <c r="M11" s="35"/>
      <c r="N11" s="45" t="s">
        <v>56</v>
      </c>
      <c r="O11" s="36">
        <v>36.57</v>
      </c>
      <c r="P11" s="37"/>
      <c r="Q11" s="38"/>
      <c r="R11" s="38"/>
      <c r="S11" s="38"/>
      <c r="T11" s="38"/>
      <c r="U11" s="39">
        <f t="shared" si="0"/>
        <v>0</v>
      </c>
      <c r="V11" s="40">
        <v>0.85</v>
      </c>
      <c r="W11" s="41"/>
      <c r="X11" s="41"/>
      <c r="Y11" s="41">
        <v>0.05</v>
      </c>
      <c r="Z11" s="41">
        <v>0.05</v>
      </c>
      <c r="AA11" s="41">
        <v>0.05</v>
      </c>
      <c r="AB11" s="41"/>
      <c r="AC11" s="41"/>
      <c r="AD11" s="39">
        <f t="shared" si="1"/>
        <v>1</v>
      </c>
      <c r="AE11" s="101">
        <f t="shared" si="2"/>
        <v>1</v>
      </c>
      <c r="AF11" s="75" t="s">
        <v>7</v>
      </c>
      <c r="AG11" s="42">
        <v>0.8</v>
      </c>
      <c r="AH11" s="75" t="s">
        <v>11</v>
      </c>
      <c r="AI11" s="42">
        <v>0.1</v>
      </c>
      <c r="AJ11" s="75" t="s">
        <v>6</v>
      </c>
      <c r="AK11" s="127">
        <v>0.1</v>
      </c>
      <c r="AL11" s="101">
        <f t="shared" si="3"/>
        <v>1</v>
      </c>
      <c r="AM11" s="43">
        <v>39</v>
      </c>
      <c r="AN11" s="96">
        <v>43</v>
      </c>
      <c r="AO11" s="114">
        <v>1</v>
      </c>
      <c r="AP11" s="152" t="s">
        <v>172</v>
      </c>
      <c r="AQ11" s="115">
        <v>1</v>
      </c>
      <c r="AR11" s="152"/>
      <c r="AS11" s="122"/>
      <c r="AT11" s="152"/>
      <c r="AU11" s="123"/>
      <c r="AV11" s="101">
        <f t="shared" si="4"/>
        <v>1</v>
      </c>
      <c r="AW11" s="44"/>
    </row>
    <row r="12" spans="1:49" ht="15.75" customHeight="1">
      <c r="A12" s="32">
        <v>4</v>
      </c>
      <c r="B12" s="33" t="s">
        <v>230</v>
      </c>
      <c r="C12" s="34">
        <v>1</v>
      </c>
      <c r="D12" s="34">
        <v>0</v>
      </c>
      <c r="E12" s="34"/>
      <c r="F12" s="34"/>
      <c r="G12" s="129">
        <v>0</v>
      </c>
      <c r="H12" s="132" t="s">
        <v>239</v>
      </c>
      <c r="I12" s="130"/>
      <c r="J12" s="34"/>
      <c r="K12" s="34"/>
      <c r="L12" s="35">
        <v>40</v>
      </c>
      <c r="M12" s="35"/>
      <c r="N12" s="45"/>
      <c r="O12" s="36">
        <v>35.200000000000003</v>
      </c>
      <c r="P12" s="37"/>
      <c r="Q12" s="38"/>
      <c r="R12" s="38"/>
      <c r="S12" s="38"/>
      <c r="T12" s="38"/>
      <c r="U12" s="39">
        <f>SUM(P12:T12)</f>
        <v>0</v>
      </c>
      <c r="V12" s="40"/>
      <c r="W12" s="41"/>
      <c r="X12" s="41"/>
      <c r="Y12" s="41"/>
      <c r="Z12" s="41"/>
      <c r="AA12" s="41">
        <v>0.5</v>
      </c>
      <c r="AB12" s="41">
        <v>0.5</v>
      </c>
      <c r="AC12" s="41"/>
      <c r="AD12" s="39">
        <f>SUM(V12:AC12)</f>
        <v>1</v>
      </c>
      <c r="AE12" s="101">
        <f>AD12+U12</f>
        <v>1</v>
      </c>
      <c r="AF12" s="75" t="s">
        <v>9</v>
      </c>
      <c r="AG12" s="42">
        <v>1</v>
      </c>
      <c r="AH12" s="75"/>
      <c r="AI12" s="42"/>
      <c r="AJ12" s="75"/>
      <c r="AK12" s="127"/>
      <c r="AL12" s="101">
        <f>SUM(AK12,AI12,AG12)</f>
        <v>1</v>
      </c>
      <c r="AM12" s="43">
        <v>31</v>
      </c>
      <c r="AN12" s="96">
        <v>37</v>
      </c>
      <c r="AO12" s="114">
        <v>0.5</v>
      </c>
      <c r="AP12" s="152" t="s">
        <v>138</v>
      </c>
      <c r="AQ12" s="115">
        <v>0.5</v>
      </c>
      <c r="AR12" s="152"/>
      <c r="AS12" s="122"/>
      <c r="AT12" s="152"/>
      <c r="AU12" s="123"/>
      <c r="AV12" s="101">
        <f>SUM(AU12,AS12,AQ12)</f>
        <v>0.5</v>
      </c>
      <c r="AW12" s="44"/>
    </row>
    <row r="13" spans="1:49" ht="15.6">
      <c r="A13" s="32">
        <v>5</v>
      </c>
      <c r="B13" s="33" t="s">
        <v>229</v>
      </c>
      <c r="C13" s="34">
        <v>1</v>
      </c>
      <c r="D13" s="34">
        <v>0</v>
      </c>
      <c r="E13" s="34"/>
      <c r="F13" s="34"/>
      <c r="G13" s="129">
        <v>0</v>
      </c>
      <c r="H13" s="132" t="s">
        <v>153</v>
      </c>
      <c r="I13" s="130"/>
      <c r="J13" s="34"/>
      <c r="K13" s="34"/>
      <c r="L13" s="35">
        <v>40</v>
      </c>
      <c r="M13" s="35"/>
      <c r="N13" s="45" t="s">
        <v>56</v>
      </c>
      <c r="O13" s="36">
        <v>45.72</v>
      </c>
      <c r="P13" s="37"/>
      <c r="Q13" s="38"/>
      <c r="R13" s="38"/>
      <c r="S13" s="38"/>
      <c r="T13" s="38"/>
      <c r="U13" s="39">
        <f>SUM(P13:T13)</f>
        <v>0</v>
      </c>
      <c r="V13" s="40"/>
      <c r="W13" s="41">
        <v>0.2</v>
      </c>
      <c r="X13" s="41">
        <v>0.2</v>
      </c>
      <c r="Y13" s="41">
        <v>0.2</v>
      </c>
      <c r="Z13" s="41">
        <v>0.05</v>
      </c>
      <c r="AA13" s="41">
        <v>0.05</v>
      </c>
      <c r="AB13" s="41">
        <v>0.2</v>
      </c>
      <c r="AC13" s="41">
        <v>0.1</v>
      </c>
      <c r="AD13" s="39">
        <f>SUM(V13:AC13)</f>
        <v>1.0000000000000002</v>
      </c>
      <c r="AE13" s="101">
        <f>AD13+U13</f>
        <v>1.0000000000000002</v>
      </c>
      <c r="AF13" s="75" t="s">
        <v>184</v>
      </c>
      <c r="AG13" s="42">
        <v>0.4</v>
      </c>
      <c r="AH13" s="75" t="s">
        <v>195</v>
      </c>
      <c r="AI13" s="42">
        <v>0.15</v>
      </c>
      <c r="AJ13" s="75" t="s">
        <v>199</v>
      </c>
      <c r="AK13" s="127">
        <v>0.15</v>
      </c>
      <c r="AL13" s="101">
        <f>SUM(AK13,AI13,AG13)</f>
        <v>0.7</v>
      </c>
      <c r="AM13" s="43">
        <v>46</v>
      </c>
      <c r="AN13" s="96">
        <v>54</v>
      </c>
      <c r="AO13" s="114">
        <v>0</v>
      </c>
      <c r="AP13" s="152"/>
      <c r="AQ13" s="115"/>
      <c r="AR13" s="152"/>
      <c r="AS13" s="122"/>
      <c r="AT13" s="152"/>
      <c r="AU13" s="123"/>
      <c r="AV13" s="101">
        <f>SUM(AU13,AS13,AQ13)</f>
        <v>0</v>
      </c>
      <c r="AW13" s="44"/>
    </row>
    <row r="14" spans="1:49" ht="15.6">
      <c r="A14" s="32">
        <v>6</v>
      </c>
      <c r="B14" s="33" t="s">
        <v>205</v>
      </c>
      <c r="C14" s="34">
        <v>1</v>
      </c>
      <c r="D14" s="34">
        <v>0</v>
      </c>
      <c r="E14" s="34"/>
      <c r="F14" s="34"/>
      <c r="G14" s="129">
        <v>0</v>
      </c>
      <c r="H14" s="132" t="s">
        <v>153</v>
      </c>
      <c r="I14" s="130"/>
      <c r="J14" s="34"/>
      <c r="K14" s="34"/>
      <c r="L14" s="35">
        <v>40</v>
      </c>
      <c r="M14" s="35"/>
      <c r="N14" s="45" t="s">
        <v>56</v>
      </c>
      <c r="O14" s="36">
        <v>36.82</v>
      </c>
      <c r="P14" s="37"/>
      <c r="Q14" s="38"/>
      <c r="R14" s="38"/>
      <c r="S14" s="38"/>
      <c r="T14" s="38"/>
      <c r="U14" s="39">
        <f>SUM(P14:T14)</f>
        <v>0</v>
      </c>
      <c r="V14" s="40"/>
      <c r="W14" s="41"/>
      <c r="X14" s="41"/>
      <c r="Y14" s="41"/>
      <c r="Z14" s="41"/>
      <c r="AA14" s="41"/>
      <c r="AB14" s="41">
        <v>1</v>
      </c>
      <c r="AC14" s="41"/>
      <c r="AD14" s="39">
        <f>SUM(V14:AC14)</f>
        <v>1</v>
      </c>
      <c r="AE14" s="101">
        <f>AD14+U14</f>
        <v>1</v>
      </c>
      <c r="AF14" s="75" t="s">
        <v>8</v>
      </c>
      <c r="AG14" s="42">
        <v>1</v>
      </c>
      <c r="AH14" s="75"/>
      <c r="AI14" s="42"/>
      <c r="AJ14" s="75"/>
      <c r="AK14" s="127"/>
      <c r="AL14" s="101">
        <f>SUM(AK14,AI14,AG14)</f>
        <v>1</v>
      </c>
      <c r="AM14" s="43">
        <v>35</v>
      </c>
      <c r="AN14" s="96">
        <v>41</v>
      </c>
      <c r="AO14" s="114">
        <v>0</v>
      </c>
      <c r="AP14" s="152"/>
      <c r="AQ14" s="115"/>
      <c r="AR14" s="152"/>
      <c r="AS14" s="122"/>
      <c r="AT14" s="152"/>
      <c r="AU14" s="123"/>
      <c r="AV14" s="101">
        <f>SUM(AU14,AS14,AQ14)</f>
        <v>0</v>
      </c>
      <c r="AW14" s="44"/>
    </row>
    <row r="15" spans="1:49" ht="15.6">
      <c r="A15" s="32">
        <v>7</v>
      </c>
      <c r="B15" s="33" t="s">
        <v>228</v>
      </c>
      <c r="C15" s="34">
        <v>1</v>
      </c>
      <c r="D15" s="34">
        <v>0</v>
      </c>
      <c r="E15" s="34"/>
      <c r="F15" s="34"/>
      <c r="G15" s="129">
        <v>0</v>
      </c>
      <c r="H15" s="132" t="s">
        <v>153</v>
      </c>
      <c r="I15" s="130"/>
      <c r="J15" s="34"/>
      <c r="K15" s="34"/>
      <c r="L15" s="35">
        <v>40</v>
      </c>
      <c r="M15" s="35"/>
      <c r="N15" s="45" t="s">
        <v>56</v>
      </c>
      <c r="O15" s="36">
        <v>27.29</v>
      </c>
      <c r="P15" s="37"/>
      <c r="Q15" s="38"/>
      <c r="R15" s="38"/>
      <c r="S15" s="38"/>
      <c r="T15" s="38"/>
      <c r="U15" s="39">
        <f t="shared" si="0"/>
        <v>0</v>
      </c>
      <c r="V15" s="40"/>
      <c r="W15" s="41"/>
      <c r="X15" s="41"/>
      <c r="Y15" s="41"/>
      <c r="Z15" s="41"/>
      <c r="AA15" s="41"/>
      <c r="AB15" s="41">
        <v>1</v>
      </c>
      <c r="AC15" s="41"/>
      <c r="AD15" s="39">
        <f t="shared" si="1"/>
        <v>1</v>
      </c>
      <c r="AE15" s="101">
        <f t="shared" si="2"/>
        <v>1</v>
      </c>
      <c r="AF15" s="75" t="s">
        <v>1</v>
      </c>
      <c r="AG15" s="42">
        <v>0.8</v>
      </c>
      <c r="AH15" s="75" t="s">
        <v>199</v>
      </c>
      <c r="AI15" s="42">
        <v>0.1</v>
      </c>
      <c r="AJ15" s="75" t="s">
        <v>146</v>
      </c>
      <c r="AK15" s="127">
        <v>0.1</v>
      </c>
      <c r="AL15" s="101">
        <f t="shared" si="3"/>
        <v>1</v>
      </c>
      <c r="AM15" s="43">
        <v>27</v>
      </c>
      <c r="AN15" s="96">
        <v>31</v>
      </c>
      <c r="AO15" s="114">
        <v>0</v>
      </c>
      <c r="AP15" s="152"/>
      <c r="AQ15" s="115"/>
      <c r="AR15" s="152"/>
      <c r="AS15" s="122"/>
      <c r="AT15" s="152"/>
      <c r="AU15" s="123"/>
      <c r="AV15" s="101">
        <f t="shared" si="4"/>
        <v>0</v>
      </c>
      <c r="AW15" s="44"/>
    </row>
    <row r="16" spans="1:49" ht="15.75" customHeight="1">
      <c r="A16" s="32">
        <v>8</v>
      </c>
      <c r="B16" s="33" t="s">
        <v>213</v>
      </c>
      <c r="C16" s="34">
        <v>1</v>
      </c>
      <c r="D16" s="34">
        <v>0</v>
      </c>
      <c r="E16" s="34"/>
      <c r="F16" s="34"/>
      <c r="G16" s="129">
        <v>0</v>
      </c>
      <c r="H16" s="132" t="s">
        <v>153</v>
      </c>
      <c r="I16" s="130"/>
      <c r="J16" s="34"/>
      <c r="K16" s="34"/>
      <c r="L16" s="35">
        <v>40</v>
      </c>
      <c r="M16" s="35"/>
      <c r="N16" s="45" t="s">
        <v>56</v>
      </c>
      <c r="O16" s="36">
        <v>21.99</v>
      </c>
      <c r="P16" s="37"/>
      <c r="Q16" s="38"/>
      <c r="R16" s="38"/>
      <c r="S16" s="38"/>
      <c r="T16" s="38"/>
      <c r="U16" s="39">
        <f>SUM(P16:T16)</f>
        <v>0</v>
      </c>
      <c r="V16" s="40"/>
      <c r="W16" s="41"/>
      <c r="X16" s="41"/>
      <c r="Y16" s="41"/>
      <c r="Z16" s="41"/>
      <c r="AA16" s="41"/>
      <c r="AB16" s="41">
        <v>1</v>
      </c>
      <c r="AC16" s="41"/>
      <c r="AD16" s="39">
        <f>SUM(V16:AC16)</f>
        <v>1</v>
      </c>
      <c r="AE16" s="101">
        <f>AD16+U16</f>
        <v>1</v>
      </c>
      <c r="AF16" s="75" t="s">
        <v>1</v>
      </c>
      <c r="AG16" s="42">
        <v>1</v>
      </c>
      <c r="AH16" s="75"/>
      <c r="AI16" s="42"/>
      <c r="AJ16" s="75"/>
      <c r="AK16" s="127"/>
      <c r="AL16" s="101">
        <f>SUM(AK16,AI16,AG16)</f>
        <v>1</v>
      </c>
      <c r="AM16" s="43">
        <v>21</v>
      </c>
      <c r="AN16" s="96">
        <v>25</v>
      </c>
      <c r="AO16" s="114">
        <v>0.4</v>
      </c>
      <c r="AP16" s="152" t="s">
        <v>170</v>
      </c>
      <c r="AQ16" s="115">
        <v>0.35</v>
      </c>
      <c r="AR16" s="152" t="s">
        <v>170</v>
      </c>
      <c r="AS16" s="122">
        <v>0.05</v>
      </c>
      <c r="AT16" s="152"/>
      <c r="AU16" s="123"/>
      <c r="AV16" s="101">
        <f>SUM(AU16,AS16,AQ16)</f>
        <v>0.39999999999999997</v>
      </c>
      <c r="AW16" s="44" t="s">
        <v>243</v>
      </c>
    </row>
    <row r="17" spans="1:49" ht="15.75" customHeight="1">
      <c r="A17" s="32">
        <v>9</v>
      </c>
      <c r="B17" s="33" t="s">
        <v>232</v>
      </c>
      <c r="C17" s="34">
        <v>1</v>
      </c>
      <c r="D17" s="34">
        <v>0</v>
      </c>
      <c r="E17" s="34"/>
      <c r="F17" s="34"/>
      <c r="G17" s="129">
        <v>0</v>
      </c>
      <c r="H17" s="132" t="s">
        <v>153</v>
      </c>
      <c r="I17" s="130"/>
      <c r="J17" s="34"/>
      <c r="K17" s="34"/>
      <c r="L17" s="35">
        <v>40</v>
      </c>
      <c r="M17" s="35"/>
      <c r="N17" s="45"/>
      <c r="O17" s="36">
        <v>21.38</v>
      </c>
      <c r="P17" s="37"/>
      <c r="Q17" s="38"/>
      <c r="R17" s="38"/>
      <c r="S17" s="38"/>
      <c r="T17" s="38"/>
      <c r="U17" s="39">
        <f>SUM(P17:T17)</f>
        <v>0</v>
      </c>
      <c r="V17" s="40"/>
      <c r="W17" s="41"/>
      <c r="X17" s="41"/>
      <c r="Y17" s="41"/>
      <c r="Z17" s="41"/>
      <c r="AA17" s="41"/>
      <c r="AB17" s="41">
        <v>1</v>
      </c>
      <c r="AC17" s="41"/>
      <c r="AD17" s="39">
        <f>SUM(V17:AC17)</f>
        <v>1</v>
      </c>
      <c r="AE17" s="101">
        <f>AD17+U17</f>
        <v>1</v>
      </c>
      <c r="AF17" s="75" t="s">
        <v>1</v>
      </c>
      <c r="AG17" s="42">
        <v>1</v>
      </c>
      <c r="AH17" s="75"/>
      <c r="AI17" s="42"/>
      <c r="AJ17" s="75"/>
      <c r="AK17" s="127"/>
      <c r="AL17" s="101">
        <f>SUM(AK17,AI17,AG17)</f>
        <v>1</v>
      </c>
      <c r="AM17" s="43">
        <v>21</v>
      </c>
      <c r="AN17" s="96">
        <v>25</v>
      </c>
      <c r="AO17" s="114">
        <v>0</v>
      </c>
      <c r="AP17" s="152"/>
      <c r="AQ17" s="115"/>
      <c r="AR17" s="152"/>
      <c r="AS17" s="122"/>
      <c r="AT17" s="152"/>
      <c r="AU17" s="123"/>
      <c r="AV17" s="101">
        <f>SUM(AU17,AS17,AQ17)</f>
        <v>0</v>
      </c>
      <c r="AW17" s="44"/>
    </row>
    <row r="18" spans="1:49" ht="15.75" customHeight="1">
      <c r="A18" s="32">
        <v>10</v>
      </c>
      <c r="B18" s="33" t="s">
        <v>227</v>
      </c>
      <c r="C18" s="34">
        <v>1</v>
      </c>
      <c r="D18" s="34">
        <v>0</v>
      </c>
      <c r="E18" s="34"/>
      <c r="F18" s="34"/>
      <c r="G18" s="129">
        <v>0</v>
      </c>
      <c r="H18" s="132" t="s">
        <v>153</v>
      </c>
      <c r="I18" s="130"/>
      <c r="J18" s="34"/>
      <c r="K18" s="34"/>
      <c r="L18" s="35">
        <v>40</v>
      </c>
      <c r="M18" s="35"/>
      <c r="N18" s="45"/>
      <c r="O18" s="36">
        <v>19.78</v>
      </c>
      <c r="P18" s="37"/>
      <c r="Q18" s="38"/>
      <c r="R18" s="38"/>
      <c r="S18" s="38"/>
      <c r="T18" s="38"/>
      <c r="U18" s="39">
        <f>SUM(P18:T18)</f>
        <v>0</v>
      </c>
      <c r="V18" s="40"/>
      <c r="W18" s="41"/>
      <c r="X18" s="41"/>
      <c r="Y18" s="41"/>
      <c r="Z18" s="41"/>
      <c r="AA18" s="41"/>
      <c r="AB18" s="41">
        <v>1</v>
      </c>
      <c r="AC18" s="41"/>
      <c r="AD18" s="39">
        <f>SUM(V18:AC18)</f>
        <v>1</v>
      </c>
      <c r="AE18" s="101">
        <f>AD18+U18</f>
        <v>1</v>
      </c>
      <c r="AF18" s="75" t="s">
        <v>1</v>
      </c>
      <c r="AG18" s="42">
        <v>1</v>
      </c>
      <c r="AH18" s="75"/>
      <c r="AI18" s="42"/>
      <c r="AJ18" s="75"/>
      <c r="AK18" s="127"/>
      <c r="AL18" s="101">
        <f>SUM(AK18,AI18,AG18)</f>
        <v>1</v>
      </c>
      <c r="AM18" s="43">
        <v>20</v>
      </c>
      <c r="AN18" s="96">
        <v>24</v>
      </c>
      <c r="AO18" s="114">
        <v>0</v>
      </c>
      <c r="AP18" s="152"/>
      <c r="AQ18" s="115"/>
      <c r="AR18" s="152"/>
      <c r="AS18" s="122"/>
      <c r="AT18" s="152"/>
      <c r="AU18" s="123"/>
      <c r="AV18" s="101">
        <f>SUM(AU18,AS18,AQ18)</f>
        <v>0</v>
      </c>
      <c r="AW18" s="44"/>
    </row>
    <row r="19" spans="1:49" ht="15.75" customHeight="1">
      <c r="A19" s="32">
        <v>11</v>
      </c>
      <c r="B19" s="33" t="s">
        <v>224</v>
      </c>
      <c r="C19" s="34">
        <v>1</v>
      </c>
      <c r="D19" s="34">
        <v>0</v>
      </c>
      <c r="E19" s="34"/>
      <c r="F19" s="34"/>
      <c r="G19" s="129">
        <v>0</v>
      </c>
      <c r="H19" s="132" t="s">
        <v>153</v>
      </c>
      <c r="I19" s="130"/>
      <c r="J19" s="34"/>
      <c r="K19" s="34"/>
      <c r="L19" s="35">
        <v>40</v>
      </c>
      <c r="M19" s="35"/>
      <c r="N19" s="45"/>
      <c r="O19" s="36">
        <v>41.8</v>
      </c>
      <c r="P19" s="37"/>
      <c r="Q19" s="38"/>
      <c r="R19" s="38"/>
      <c r="S19" s="38">
        <v>0.2</v>
      </c>
      <c r="T19" s="38">
        <v>0.05</v>
      </c>
      <c r="U19" s="39">
        <f>SUM(P19:T19)</f>
        <v>0.25</v>
      </c>
      <c r="V19" s="40">
        <v>0.05</v>
      </c>
      <c r="W19" s="41"/>
      <c r="X19" s="41">
        <v>0.2</v>
      </c>
      <c r="Y19" s="41">
        <v>0.1</v>
      </c>
      <c r="Z19" s="41">
        <v>0.1</v>
      </c>
      <c r="AA19" s="41"/>
      <c r="AB19" s="41">
        <v>0.3</v>
      </c>
      <c r="AC19" s="41"/>
      <c r="AD19" s="39">
        <f>SUM(V19:AC19)</f>
        <v>0.75</v>
      </c>
      <c r="AE19" s="101">
        <f>AD19+U19</f>
        <v>1</v>
      </c>
      <c r="AF19" s="75" t="s">
        <v>184</v>
      </c>
      <c r="AG19" s="42">
        <v>0.6</v>
      </c>
      <c r="AH19" s="75" t="s">
        <v>191</v>
      </c>
      <c r="AI19" s="42">
        <v>0.2</v>
      </c>
      <c r="AJ19" s="75" t="s">
        <v>199</v>
      </c>
      <c r="AK19" s="127">
        <v>0.2</v>
      </c>
      <c r="AL19" s="101">
        <f>SUM(AK19,AI19,AG19)</f>
        <v>1</v>
      </c>
      <c r="AM19" s="43">
        <v>36</v>
      </c>
      <c r="AN19" s="96">
        <v>43</v>
      </c>
      <c r="AO19" s="114">
        <v>0.9</v>
      </c>
      <c r="AP19" s="152" t="s">
        <v>175</v>
      </c>
      <c r="AQ19" s="115">
        <v>0.5</v>
      </c>
      <c r="AR19" s="152" t="s">
        <v>170</v>
      </c>
      <c r="AS19" s="122">
        <v>0.3</v>
      </c>
      <c r="AT19" s="152" t="s">
        <v>174</v>
      </c>
      <c r="AU19" s="123">
        <v>0.05</v>
      </c>
      <c r="AV19" s="101">
        <f>SUM(AU19,AS19,AQ19)</f>
        <v>0.85</v>
      </c>
      <c r="AW19" s="44"/>
    </row>
    <row r="20" spans="1:49" ht="15.6">
      <c r="A20" s="32">
        <v>12</v>
      </c>
      <c r="B20" s="33" t="s">
        <v>234</v>
      </c>
      <c r="C20" s="34">
        <v>1</v>
      </c>
      <c r="D20" s="34">
        <v>0</v>
      </c>
      <c r="E20" s="34"/>
      <c r="F20" s="34"/>
      <c r="G20" s="129">
        <v>0</v>
      </c>
      <c r="H20" s="132" t="s">
        <v>239</v>
      </c>
      <c r="I20" s="130"/>
      <c r="J20" s="34"/>
      <c r="K20" s="34"/>
      <c r="L20" s="35">
        <v>40</v>
      </c>
      <c r="M20" s="35"/>
      <c r="N20" s="45" t="s">
        <v>56</v>
      </c>
      <c r="O20" s="36">
        <v>18.84</v>
      </c>
      <c r="P20" s="37"/>
      <c r="Q20" s="38"/>
      <c r="R20" s="38"/>
      <c r="S20" s="38">
        <v>0.6</v>
      </c>
      <c r="T20" s="38">
        <v>0.2</v>
      </c>
      <c r="U20" s="39">
        <f t="shared" si="0"/>
        <v>0.8</v>
      </c>
      <c r="V20" s="40"/>
      <c r="W20" s="41"/>
      <c r="X20" s="41">
        <v>0.1</v>
      </c>
      <c r="Y20" s="41"/>
      <c r="Z20" s="41">
        <v>0.1</v>
      </c>
      <c r="AA20" s="41"/>
      <c r="AB20" s="41"/>
      <c r="AC20" s="41"/>
      <c r="AD20" s="39">
        <f t="shared" si="1"/>
        <v>0.2</v>
      </c>
      <c r="AE20" s="101">
        <f t="shared" si="2"/>
        <v>1</v>
      </c>
      <c r="AF20" s="75" t="s">
        <v>191</v>
      </c>
      <c r="AG20" s="42">
        <v>0.6</v>
      </c>
      <c r="AH20" s="75" t="s">
        <v>20</v>
      </c>
      <c r="AI20" s="42">
        <v>0.1</v>
      </c>
      <c r="AJ20" s="75" t="s">
        <v>1</v>
      </c>
      <c r="AK20" s="127">
        <v>0.1</v>
      </c>
      <c r="AL20" s="101">
        <f t="shared" si="3"/>
        <v>0.8</v>
      </c>
      <c r="AM20" s="43">
        <v>19</v>
      </c>
      <c r="AN20" s="96">
        <v>23</v>
      </c>
      <c r="AO20" s="114">
        <v>1</v>
      </c>
      <c r="AP20" s="152" t="s">
        <v>170</v>
      </c>
      <c r="AQ20" s="115">
        <v>0.95</v>
      </c>
      <c r="AR20" s="152" t="s">
        <v>139</v>
      </c>
      <c r="AS20" s="122">
        <v>0.05</v>
      </c>
      <c r="AT20" s="152"/>
      <c r="AU20" s="123"/>
      <c r="AV20" s="101">
        <f t="shared" si="4"/>
        <v>1</v>
      </c>
      <c r="AW20" s="44" t="s">
        <v>244</v>
      </c>
    </row>
    <row r="21" spans="1:49" ht="15.75" customHeight="1">
      <c r="A21" s="32">
        <v>13</v>
      </c>
      <c r="B21" s="33" t="s">
        <v>216</v>
      </c>
      <c r="C21" s="34">
        <v>1</v>
      </c>
      <c r="D21" s="34">
        <v>0</v>
      </c>
      <c r="E21" s="34"/>
      <c r="F21" s="34"/>
      <c r="G21" s="129">
        <v>0</v>
      </c>
      <c r="H21" s="132" t="s">
        <v>239</v>
      </c>
      <c r="I21" s="130"/>
      <c r="J21" s="34"/>
      <c r="K21" s="34"/>
      <c r="L21" s="35">
        <v>40</v>
      </c>
      <c r="M21" s="35"/>
      <c r="N21" s="45"/>
      <c r="O21" s="36">
        <v>37.909999999999997</v>
      </c>
      <c r="P21" s="37"/>
      <c r="Q21" s="38"/>
      <c r="R21" s="38"/>
      <c r="S21" s="38">
        <v>0.6</v>
      </c>
      <c r="T21" s="38">
        <v>0.2</v>
      </c>
      <c r="U21" s="39">
        <f t="shared" ref="U21:U27" si="5">SUM(P21:T21)</f>
        <v>0.8</v>
      </c>
      <c r="V21" s="40"/>
      <c r="W21" s="41"/>
      <c r="X21" s="41">
        <v>0.1</v>
      </c>
      <c r="Y21" s="41"/>
      <c r="Z21" s="41">
        <v>0.1</v>
      </c>
      <c r="AA21" s="41"/>
      <c r="AB21" s="41"/>
      <c r="AC21" s="41"/>
      <c r="AD21" s="39">
        <f t="shared" ref="AD21:AD27" si="6">SUM(V21:AC21)</f>
        <v>0.2</v>
      </c>
      <c r="AE21" s="101">
        <f t="shared" ref="AE21:AE27" si="7">AD21+U21</f>
        <v>1</v>
      </c>
      <c r="AF21" s="75" t="s">
        <v>191</v>
      </c>
      <c r="AG21" s="42">
        <v>0.7</v>
      </c>
      <c r="AH21" s="75" t="s">
        <v>173</v>
      </c>
      <c r="AI21" s="42">
        <v>0.05</v>
      </c>
      <c r="AJ21" s="75" t="s">
        <v>1</v>
      </c>
      <c r="AK21" s="127">
        <v>0.1</v>
      </c>
      <c r="AL21" s="101">
        <f t="shared" ref="AL21:AL27" si="8">SUM(AK21,AI21,AG21)</f>
        <v>0.85</v>
      </c>
      <c r="AM21" s="43">
        <v>33</v>
      </c>
      <c r="AN21" s="96">
        <v>39</v>
      </c>
      <c r="AO21" s="114">
        <v>1</v>
      </c>
      <c r="AP21" s="152" t="s">
        <v>174</v>
      </c>
      <c r="AQ21" s="115">
        <v>0.75</v>
      </c>
      <c r="AR21" s="152" t="s">
        <v>175</v>
      </c>
      <c r="AS21" s="122">
        <v>0.17</v>
      </c>
      <c r="AT21" s="152" t="s">
        <v>143</v>
      </c>
      <c r="AU21" s="123">
        <v>0.08</v>
      </c>
      <c r="AV21" s="101">
        <f t="shared" ref="AV21:AV27" si="9">SUM(AU21,AS21,AQ21)</f>
        <v>1</v>
      </c>
      <c r="AW21" s="44"/>
    </row>
    <row r="22" spans="1:49" ht="15.75" customHeight="1">
      <c r="A22" s="32">
        <v>14</v>
      </c>
      <c r="B22" s="33" t="s">
        <v>222</v>
      </c>
      <c r="C22" s="34">
        <v>1</v>
      </c>
      <c r="D22" s="34">
        <v>0</v>
      </c>
      <c r="E22" s="34"/>
      <c r="F22" s="34"/>
      <c r="G22" s="129">
        <v>0</v>
      </c>
      <c r="H22" s="132" t="s">
        <v>239</v>
      </c>
      <c r="I22" s="130"/>
      <c r="J22" s="34"/>
      <c r="K22" s="34"/>
      <c r="L22" s="35">
        <v>40</v>
      </c>
      <c r="M22" s="35"/>
      <c r="N22" s="45"/>
      <c r="O22" s="36">
        <v>26.17</v>
      </c>
      <c r="P22" s="37"/>
      <c r="Q22" s="38">
        <v>0.3</v>
      </c>
      <c r="R22" s="38"/>
      <c r="S22" s="38">
        <v>0.4</v>
      </c>
      <c r="T22" s="38">
        <v>0.1</v>
      </c>
      <c r="U22" s="39">
        <f t="shared" si="5"/>
        <v>0.79999999999999993</v>
      </c>
      <c r="V22" s="40"/>
      <c r="W22" s="41"/>
      <c r="X22" s="41">
        <v>0.1</v>
      </c>
      <c r="Y22" s="41"/>
      <c r="Z22" s="41">
        <v>0.1</v>
      </c>
      <c r="AA22" s="41"/>
      <c r="AB22" s="41"/>
      <c r="AC22" s="41"/>
      <c r="AD22" s="39">
        <f t="shared" si="6"/>
        <v>0.2</v>
      </c>
      <c r="AE22" s="101">
        <f t="shared" si="7"/>
        <v>1</v>
      </c>
      <c r="AF22" s="75" t="s">
        <v>191</v>
      </c>
      <c r="AG22" s="42">
        <v>0.6</v>
      </c>
      <c r="AH22" s="75" t="s">
        <v>182</v>
      </c>
      <c r="AI22" s="42">
        <v>0.25</v>
      </c>
      <c r="AJ22" s="75" t="s">
        <v>1</v>
      </c>
      <c r="AK22" s="127">
        <v>0.1</v>
      </c>
      <c r="AL22" s="101">
        <f t="shared" si="8"/>
        <v>0.95</v>
      </c>
      <c r="AM22" s="43">
        <v>25</v>
      </c>
      <c r="AN22" s="96">
        <v>29</v>
      </c>
      <c r="AO22" s="114">
        <v>1</v>
      </c>
      <c r="AP22" s="152" t="s">
        <v>174</v>
      </c>
      <c r="AQ22" s="115">
        <v>0.65</v>
      </c>
      <c r="AR22" s="152" t="s">
        <v>143</v>
      </c>
      <c r="AS22" s="122">
        <v>0.35</v>
      </c>
      <c r="AT22" s="152"/>
      <c r="AU22" s="123"/>
      <c r="AV22" s="101">
        <f t="shared" si="9"/>
        <v>1</v>
      </c>
      <c r="AW22" s="44"/>
    </row>
    <row r="23" spans="1:49" ht="15.75" customHeight="1">
      <c r="A23" s="32">
        <v>15</v>
      </c>
      <c r="B23" s="33" t="s">
        <v>218</v>
      </c>
      <c r="C23" s="34">
        <v>0</v>
      </c>
      <c r="D23" s="34">
        <v>1</v>
      </c>
      <c r="E23" s="34"/>
      <c r="F23" s="34"/>
      <c r="G23" s="129">
        <v>0</v>
      </c>
      <c r="H23" s="132" t="s">
        <v>239</v>
      </c>
      <c r="I23" s="130"/>
      <c r="J23" s="34"/>
      <c r="K23" s="34"/>
      <c r="L23" s="35">
        <v>20</v>
      </c>
      <c r="M23" s="35"/>
      <c r="N23" s="45"/>
      <c r="O23" s="36">
        <v>28.29</v>
      </c>
      <c r="P23" s="37"/>
      <c r="Q23" s="38"/>
      <c r="R23" s="38"/>
      <c r="S23" s="38">
        <v>0.6</v>
      </c>
      <c r="T23" s="38">
        <v>0.1</v>
      </c>
      <c r="U23" s="39">
        <f t="shared" si="5"/>
        <v>0.7</v>
      </c>
      <c r="V23" s="40"/>
      <c r="W23" s="41"/>
      <c r="X23" s="41">
        <v>0.2</v>
      </c>
      <c r="Y23" s="41"/>
      <c r="Z23" s="41">
        <v>0.1</v>
      </c>
      <c r="AA23" s="41"/>
      <c r="AB23" s="41"/>
      <c r="AC23" s="41"/>
      <c r="AD23" s="39">
        <f t="shared" si="6"/>
        <v>0.30000000000000004</v>
      </c>
      <c r="AE23" s="101">
        <f t="shared" si="7"/>
        <v>1</v>
      </c>
      <c r="AF23" s="75" t="s">
        <v>191</v>
      </c>
      <c r="AG23" s="42">
        <v>0.75</v>
      </c>
      <c r="AH23" s="75" t="s">
        <v>1</v>
      </c>
      <c r="AI23" s="42">
        <v>0.1</v>
      </c>
      <c r="AJ23" s="75"/>
      <c r="AK23" s="127"/>
      <c r="AL23" s="101">
        <f t="shared" si="8"/>
        <v>0.85</v>
      </c>
      <c r="AM23" s="43">
        <v>25</v>
      </c>
      <c r="AN23" s="96">
        <v>29</v>
      </c>
      <c r="AO23" s="114">
        <v>1</v>
      </c>
      <c r="AP23" s="152" t="s">
        <v>174</v>
      </c>
      <c r="AQ23" s="115">
        <v>1</v>
      </c>
      <c r="AR23" s="152"/>
      <c r="AS23" s="122"/>
      <c r="AT23" s="152"/>
      <c r="AU23" s="123"/>
      <c r="AV23" s="101">
        <f t="shared" si="9"/>
        <v>1</v>
      </c>
      <c r="AW23" s="44"/>
    </row>
    <row r="24" spans="1:49" ht="15.75" customHeight="1">
      <c r="A24" s="32">
        <v>16</v>
      </c>
      <c r="B24" s="33" t="s">
        <v>225</v>
      </c>
      <c r="C24" s="34">
        <v>1</v>
      </c>
      <c r="D24" s="34">
        <v>0</v>
      </c>
      <c r="E24" s="34"/>
      <c r="F24" s="34"/>
      <c r="G24" s="129">
        <v>0</v>
      </c>
      <c r="H24" s="132" t="s">
        <v>153</v>
      </c>
      <c r="I24" s="130"/>
      <c r="J24" s="34"/>
      <c r="K24" s="34"/>
      <c r="L24" s="35">
        <v>40</v>
      </c>
      <c r="M24" s="35"/>
      <c r="N24" s="45"/>
      <c r="O24" s="36">
        <v>24.92</v>
      </c>
      <c r="P24" s="37"/>
      <c r="Q24" s="38"/>
      <c r="R24" s="38"/>
      <c r="S24" s="38">
        <v>0.4</v>
      </c>
      <c r="T24" s="38">
        <v>0.2</v>
      </c>
      <c r="U24" s="39">
        <f t="shared" si="5"/>
        <v>0.60000000000000009</v>
      </c>
      <c r="V24" s="40"/>
      <c r="W24" s="41"/>
      <c r="X24" s="41">
        <v>0.2</v>
      </c>
      <c r="Y24" s="41">
        <v>0.1</v>
      </c>
      <c r="Z24" s="41">
        <v>0.1</v>
      </c>
      <c r="AA24" s="41"/>
      <c r="AB24" s="41"/>
      <c r="AC24" s="41"/>
      <c r="AD24" s="39">
        <f t="shared" si="6"/>
        <v>0.4</v>
      </c>
      <c r="AE24" s="101">
        <f t="shared" si="7"/>
        <v>1</v>
      </c>
      <c r="AF24" s="75" t="s">
        <v>20</v>
      </c>
      <c r="AG24" s="42">
        <v>0.8</v>
      </c>
      <c r="AH24" s="75" t="s">
        <v>1</v>
      </c>
      <c r="AI24" s="42">
        <v>0.2</v>
      </c>
      <c r="AJ24" s="75"/>
      <c r="AK24" s="127"/>
      <c r="AL24" s="101">
        <f t="shared" si="8"/>
        <v>1</v>
      </c>
      <c r="AM24" s="43">
        <v>23</v>
      </c>
      <c r="AN24" s="96">
        <v>28</v>
      </c>
      <c r="AO24" s="114">
        <v>1</v>
      </c>
      <c r="AP24" s="152" t="s">
        <v>139</v>
      </c>
      <c r="AQ24" s="115">
        <v>1</v>
      </c>
      <c r="AR24" s="152"/>
      <c r="AS24" s="122"/>
      <c r="AT24" s="152"/>
      <c r="AU24" s="123"/>
      <c r="AV24" s="101">
        <f t="shared" si="9"/>
        <v>1</v>
      </c>
      <c r="AW24" s="44"/>
    </row>
    <row r="25" spans="1:49" ht="15.75" customHeight="1">
      <c r="A25" s="32">
        <v>17</v>
      </c>
      <c r="B25" s="33" t="s">
        <v>226</v>
      </c>
      <c r="C25" s="34">
        <v>0</v>
      </c>
      <c r="D25" s="34">
        <v>1</v>
      </c>
      <c r="E25" s="34"/>
      <c r="F25" s="34"/>
      <c r="G25" s="129">
        <v>0</v>
      </c>
      <c r="H25" s="132" t="s">
        <v>154</v>
      </c>
      <c r="I25" s="130"/>
      <c r="J25" s="34"/>
      <c r="K25" s="34"/>
      <c r="L25" s="35">
        <v>30</v>
      </c>
      <c r="M25" s="35"/>
      <c r="N25" s="45"/>
      <c r="O25" s="36">
        <v>37.909999999999997</v>
      </c>
      <c r="P25" s="37"/>
      <c r="Q25" s="38"/>
      <c r="R25" s="38"/>
      <c r="S25" s="38">
        <v>0.8</v>
      </c>
      <c r="T25" s="38">
        <v>0.1</v>
      </c>
      <c r="U25" s="39">
        <f t="shared" si="5"/>
        <v>0.9</v>
      </c>
      <c r="V25" s="40"/>
      <c r="W25" s="41"/>
      <c r="X25" s="41"/>
      <c r="Y25" s="41"/>
      <c r="Z25" s="41">
        <v>0.1</v>
      </c>
      <c r="AA25" s="41"/>
      <c r="AB25" s="41"/>
      <c r="AC25" s="41"/>
      <c r="AD25" s="39">
        <f t="shared" si="6"/>
        <v>0.1</v>
      </c>
      <c r="AE25" s="101">
        <f t="shared" si="7"/>
        <v>1</v>
      </c>
      <c r="AF25" s="75" t="s">
        <v>20</v>
      </c>
      <c r="AG25" s="42">
        <v>0.8</v>
      </c>
      <c r="AH25" s="75" t="s">
        <v>1</v>
      </c>
      <c r="AI25" s="42">
        <v>0.2</v>
      </c>
      <c r="AJ25" s="75"/>
      <c r="AK25" s="127"/>
      <c r="AL25" s="101">
        <f t="shared" si="8"/>
        <v>1</v>
      </c>
      <c r="AM25" s="43">
        <v>33</v>
      </c>
      <c r="AN25" s="96">
        <v>39</v>
      </c>
      <c r="AO25" s="114">
        <v>1</v>
      </c>
      <c r="AP25" s="152" t="s">
        <v>139</v>
      </c>
      <c r="AQ25" s="115">
        <v>1</v>
      </c>
      <c r="AR25" s="152"/>
      <c r="AS25" s="122"/>
      <c r="AT25" s="152"/>
      <c r="AU25" s="123"/>
      <c r="AV25" s="101">
        <f t="shared" si="9"/>
        <v>1</v>
      </c>
      <c r="AW25" s="44"/>
    </row>
    <row r="26" spans="1:49" ht="15.75" customHeight="1">
      <c r="A26" s="32">
        <v>18</v>
      </c>
      <c r="B26" s="33" t="s">
        <v>226</v>
      </c>
      <c r="C26" s="34">
        <v>0</v>
      </c>
      <c r="D26" s="34">
        <v>1</v>
      </c>
      <c r="E26" s="34"/>
      <c r="F26" s="34"/>
      <c r="G26" s="129">
        <v>0</v>
      </c>
      <c r="H26" s="132" t="s">
        <v>153</v>
      </c>
      <c r="I26" s="130"/>
      <c r="J26" s="34"/>
      <c r="K26" s="34"/>
      <c r="L26" s="35">
        <v>30</v>
      </c>
      <c r="M26" s="35"/>
      <c r="N26" s="45"/>
      <c r="O26" s="36">
        <v>37.909999999999997</v>
      </c>
      <c r="P26" s="37"/>
      <c r="Q26" s="38"/>
      <c r="R26" s="38"/>
      <c r="S26" s="38">
        <v>0.8</v>
      </c>
      <c r="T26" s="38">
        <v>0.1</v>
      </c>
      <c r="U26" s="39">
        <f t="shared" si="5"/>
        <v>0.9</v>
      </c>
      <c r="V26" s="40"/>
      <c r="W26" s="41"/>
      <c r="X26" s="41"/>
      <c r="Y26" s="41"/>
      <c r="Z26" s="41">
        <v>0.1</v>
      </c>
      <c r="AA26" s="41"/>
      <c r="AB26" s="41"/>
      <c r="AC26" s="41"/>
      <c r="AD26" s="39">
        <f t="shared" si="6"/>
        <v>0.1</v>
      </c>
      <c r="AE26" s="101">
        <f t="shared" si="7"/>
        <v>1</v>
      </c>
      <c r="AF26" s="75" t="s">
        <v>20</v>
      </c>
      <c r="AG26" s="42">
        <v>0.8</v>
      </c>
      <c r="AH26" s="75" t="s">
        <v>1</v>
      </c>
      <c r="AI26" s="42">
        <v>0.2</v>
      </c>
      <c r="AJ26" s="75"/>
      <c r="AK26" s="127"/>
      <c r="AL26" s="101">
        <f t="shared" si="8"/>
        <v>1</v>
      </c>
      <c r="AM26" s="43">
        <v>33</v>
      </c>
      <c r="AN26" s="96">
        <v>39</v>
      </c>
      <c r="AO26" s="114">
        <v>1</v>
      </c>
      <c r="AP26" s="152" t="s">
        <v>139</v>
      </c>
      <c r="AQ26" s="115">
        <v>1</v>
      </c>
      <c r="AR26" s="152"/>
      <c r="AS26" s="122"/>
      <c r="AT26" s="152"/>
      <c r="AU26" s="123"/>
      <c r="AV26" s="101">
        <f t="shared" si="9"/>
        <v>1</v>
      </c>
      <c r="AW26" s="44"/>
    </row>
    <row r="27" spans="1:49" ht="28.8">
      <c r="A27" s="32">
        <v>19</v>
      </c>
      <c r="B27" s="33" t="s">
        <v>206</v>
      </c>
      <c r="C27" s="34">
        <v>1</v>
      </c>
      <c r="D27" s="34">
        <v>0</v>
      </c>
      <c r="E27" s="34"/>
      <c r="F27" s="34"/>
      <c r="G27" s="129">
        <v>0</v>
      </c>
      <c r="H27" s="132" t="s">
        <v>153</v>
      </c>
      <c r="I27" s="130"/>
      <c r="J27" s="34"/>
      <c r="K27" s="34"/>
      <c r="L27" s="35">
        <v>40</v>
      </c>
      <c r="M27" s="35"/>
      <c r="N27" s="45" t="s">
        <v>56</v>
      </c>
      <c r="O27" s="36">
        <v>36.57</v>
      </c>
      <c r="P27" s="37"/>
      <c r="Q27" s="38">
        <v>0.1</v>
      </c>
      <c r="R27" s="38"/>
      <c r="S27" s="38"/>
      <c r="T27" s="38">
        <v>0.2</v>
      </c>
      <c r="U27" s="39">
        <f t="shared" si="5"/>
        <v>0.30000000000000004</v>
      </c>
      <c r="V27" s="40"/>
      <c r="W27" s="41"/>
      <c r="X27" s="41"/>
      <c r="Y27" s="41">
        <v>0.2</v>
      </c>
      <c r="Z27" s="41">
        <v>0.05</v>
      </c>
      <c r="AA27" s="41"/>
      <c r="AB27" s="41">
        <v>0.45</v>
      </c>
      <c r="AC27" s="41"/>
      <c r="AD27" s="39">
        <f t="shared" si="6"/>
        <v>0.7</v>
      </c>
      <c r="AE27" s="101">
        <f t="shared" si="7"/>
        <v>1</v>
      </c>
      <c r="AF27" s="75" t="s">
        <v>184</v>
      </c>
      <c r="AG27" s="42">
        <v>0.7</v>
      </c>
      <c r="AH27" s="75" t="s">
        <v>199</v>
      </c>
      <c r="AI27" s="42">
        <v>0.1</v>
      </c>
      <c r="AJ27" s="75" t="s">
        <v>9</v>
      </c>
      <c r="AK27" s="127">
        <v>0.2</v>
      </c>
      <c r="AL27" s="101">
        <f t="shared" si="8"/>
        <v>1</v>
      </c>
      <c r="AM27" s="43">
        <v>36</v>
      </c>
      <c r="AN27" s="96">
        <v>43</v>
      </c>
      <c r="AO27" s="114">
        <v>1</v>
      </c>
      <c r="AP27" s="152" t="s">
        <v>170</v>
      </c>
      <c r="AQ27" s="115">
        <v>0.65</v>
      </c>
      <c r="AR27" s="152" t="s">
        <v>176</v>
      </c>
      <c r="AS27" s="122">
        <v>0.35</v>
      </c>
      <c r="AT27" s="152"/>
      <c r="AU27" s="123"/>
      <c r="AV27" s="101">
        <f t="shared" si="9"/>
        <v>1</v>
      </c>
      <c r="AW27" s="44" t="s">
        <v>245</v>
      </c>
    </row>
    <row r="28" spans="1:49" ht="28.8">
      <c r="A28" s="32">
        <v>20</v>
      </c>
      <c r="B28" s="33" t="s">
        <v>231</v>
      </c>
      <c r="C28" s="34">
        <v>0</v>
      </c>
      <c r="D28" s="34">
        <v>1</v>
      </c>
      <c r="E28" s="34"/>
      <c r="F28" s="34"/>
      <c r="G28" s="129">
        <v>0</v>
      </c>
      <c r="H28" s="132" t="s">
        <v>153</v>
      </c>
      <c r="I28" s="130"/>
      <c r="J28" s="34"/>
      <c r="K28" s="34"/>
      <c r="L28" s="35">
        <v>20</v>
      </c>
      <c r="M28" s="35"/>
      <c r="N28" s="45" t="s">
        <v>56</v>
      </c>
      <c r="O28" s="36">
        <v>36.11</v>
      </c>
      <c r="P28" s="37"/>
      <c r="Q28" s="38">
        <v>0.65</v>
      </c>
      <c r="R28" s="38"/>
      <c r="S28" s="38"/>
      <c r="T28" s="38">
        <v>0.2</v>
      </c>
      <c r="U28" s="39">
        <f t="shared" si="0"/>
        <v>0.85000000000000009</v>
      </c>
      <c r="V28" s="40"/>
      <c r="W28" s="41"/>
      <c r="X28" s="41">
        <v>0.1</v>
      </c>
      <c r="Y28" s="41"/>
      <c r="Z28" s="41">
        <v>0.05</v>
      </c>
      <c r="AA28" s="41"/>
      <c r="AB28" s="41"/>
      <c r="AC28" s="41"/>
      <c r="AD28" s="39">
        <f t="shared" si="1"/>
        <v>0.15000000000000002</v>
      </c>
      <c r="AE28" s="101">
        <f t="shared" si="2"/>
        <v>1</v>
      </c>
      <c r="AF28" s="75" t="s">
        <v>192</v>
      </c>
      <c r="AG28" s="42">
        <v>1</v>
      </c>
      <c r="AH28" s="75"/>
      <c r="AI28" s="42"/>
      <c r="AJ28" s="75"/>
      <c r="AK28" s="127"/>
      <c r="AL28" s="101">
        <f t="shared" si="3"/>
        <v>1</v>
      </c>
      <c r="AM28" s="43">
        <v>31</v>
      </c>
      <c r="AN28" s="96">
        <v>37</v>
      </c>
      <c r="AO28" s="114">
        <v>1</v>
      </c>
      <c r="AP28" s="152" t="s">
        <v>176</v>
      </c>
      <c r="AQ28" s="115">
        <v>1</v>
      </c>
      <c r="AR28" s="152"/>
      <c r="AS28" s="122"/>
      <c r="AT28" s="152"/>
      <c r="AU28" s="123"/>
      <c r="AV28" s="101">
        <f t="shared" si="4"/>
        <v>1</v>
      </c>
      <c r="AW28" s="44"/>
    </row>
    <row r="29" spans="1:49" ht="15.75" customHeight="1">
      <c r="A29" s="32">
        <v>21</v>
      </c>
      <c r="B29" s="33" t="s">
        <v>208</v>
      </c>
      <c r="C29" s="34">
        <v>1</v>
      </c>
      <c r="D29" s="34">
        <v>0</v>
      </c>
      <c r="E29" s="34"/>
      <c r="F29" s="34"/>
      <c r="G29" s="129">
        <v>0</v>
      </c>
      <c r="H29" s="132" t="s">
        <v>153</v>
      </c>
      <c r="I29" s="130"/>
      <c r="J29" s="34"/>
      <c r="K29" s="34"/>
      <c r="L29" s="35">
        <v>40</v>
      </c>
      <c r="M29" s="35"/>
      <c r="N29" s="45" t="s">
        <v>56</v>
      </c>
      <c r="O29" s="36">
        <v>29.47</v>
      </c>
      <c r="P29" s="37"/>
      <c r="Q29" s="38"/>
      <c r="R29" s="38"/>
      <c r="S29" s="38"/>
      <c r="T29" s="38">
        <v>0.5</v>
      </c>
      <c r="U29" s="39">
        <f t="shared" ref="U29:U36" si="10">SUM(P29:T29)</f>
        <v>0.5</v>
      </c>
      <c r="V29" s="40"/>
      <c r="W29" s="41"/>
      <c r="X29" s="41">
        <v>0.4</v>
      </c>
      <c r="Y29" s="41"/>
      <c r="Z29" s="41">
        <v>0.05</v>
      </c>
      <c r="AA29" s="41"/>
      <c r="AB29" s="41"/>
      <c r="AC29" s="41">
        <v>0.05</v>
      </c>
      <c r="AD29" s="39">
        <f t="shared" ref="AD29:AD36" si="11">SUM(V29:AC29)</f>
        <v>0.5</v>
      </c>
      <c r="AE29" s="101">
        <f t="shared" ref="AE29:AE36" si="12">AD29+U29</f>
        <v>1</v>
      </c>
      <c r="AF29" s="75" t="s">
        <v>17</v>
      </c>
      <c r="AG29" s="42">
        <v>0.5</v>
      </c>
      <c r="AH29" s="75" t="s">
        <v>180</v>
      </c>
      <c r="AI29" s="42">
        <v>0.5</v>
      </c>
      <c r="AJ29" s="75"/>
      <c r="AK29" s="127"/>
      <c r="AL29" s="101">
        <f t="shared" ref="AL29:AL36" si="13">SUM(AK29,AI29,AG29)</f>
        <v>1</v>
      </c>
      <c r="AM29" s="43">
        <v>28</v>
      </c>
      <c r="AN29" s="96">
        <v>33</v>
      </c>
      <c r="AO29" s="114">
        <v>1</v>
      </c>
      <c r="AP29" s="152" t="s">
        <v>170</v>
      </c>
      <c r="AQ29" s="115"/>
      <c r="AR29" s="152"/>
      <c r="AS29" s="122"/>
      <c r="AT29" s="152"/>
      <c r="AU29" s="123"/>
      <c r="AV29" s="101">
        <f t="shared" ref="AV29:AV36" si="14">SUM(AU29,AS29,AQ29)</f>
        <v>0</v>
      </c>
      <c r="AW29" s="44" t="s">
        <v>246</v>
      </c>
    </row>
    <row r="30" spans="1:49" ht="15.75" customHeight="1">
      <c r="A30" s="32">
        <v>22</v>
      </c>
      <c r="B30" s="33" t="s">
        <v>214</v>
      </c>
      <c r="C30" s="34">
        <v>1</v>
      </c>
      <c r="D30" s="34">
        <v>0</v>
      </c>
      <c r="E30" s="34"/>
      <c r="F30" s="34"/>
      <c r="G30" s="129">
        <v>0</v>
      </c>
      <c r="H30" s="132" t="s">
        <v>153</v>
      </c>
      <c r="I30" s="130"/>
      <c r="J30" s="34"/>
      <c r="K30" s="34"/>
      <c r="L30" s="35">
        <v>40</v>
      </c>
      <c r="M30" s="35"/>
      <c r="N30" s="45"/>
      <c r="O30" s="36">
        <v>28.66</v>
      </c>
      <c r="P30" s="37"/>
      <c r="Q30" s="38"/>
      <c r="R30" s="38"/>
      <c r="S30" s="38"/>
      <c r="T30" s="38">
        <v>0.45</v>
      </c>
      <c r="U30" s="39">
        <f t="shared" si="10"/>
        <v>0.45</v>
      </c>
      <c r="V30" s="40"/>
      <c r="W30" s="41"/>
      <c r="X30" s="41">
        <v>0.4</v>
      </c>
      <c r="Y30" s="41"/>
      <c r="Z30" s="41">
        <v>0.05</v>
      </c>
      <c r="AA30" s="41"/>
      <c r="AB30" s="41"/>
      <c r="AC30" s="41">
        <v>0.1</v>
      </c>
      <c r="AD30" s="39">
        <f t="shared" si="11"/>
        <v>0.55000000000000004</v>
      </c>
      <c r="AE30" s="101">
        <f t="shared" si="12"/>
        <v>1</v>
      </c>
      <c r="AF30" s="75" t="s">
        <v>180</v>
      </c>
      <c r="AG30" s="42">
        <v>0.6</v>
      </c>
      <c r="AH30" s="75" t="s">
        <v>10</v>
      </c>
      <c r="AI30" s="42">
        <v>0.4</v>
      </c>
      <c r="AJ30" s="75"/>
      <c r="AK30" s="127"/>
      <c r="AL30" s="101">
        <f t="shared" si="13"/>
        <v>1</v>
      </c>
      <c r="AM30" s="43">
        <v>28</v>
      </c>
      <c r="AN30" s="96">
        <v>33</v>
      </c>
      <c r="AO30" s="114">
        <v>1</v>
      </c>
      <c r="AP30" s="152" t="s">
        <v>170</v>
      </c>
      <c r="AQ30" s="115"/>
      <c r="AR30" s="152"/>
      <c r="AS30" s="122"/>
      <c r="AT30" s="152"/>
      <c r="AU30" s="123"/>
      <c r="AV30" s="101">
        <f t="shared" si="14"/>
        <v>0</v>
      </c>
      <c r="AW30" s="44" t="s">
        <v>247</v>
      </c>
    </row>
    <row r="31" spans="1:49" ht="15.75" customHeight="1">
      <c r="A31" s="32">
        <v>23</v>
      </c>
      <c r="B31" s="33" t="s">
        <v>215</v>
      </c>
      <c r="C31" s="34">
        <v>1</v>
      </c>
      <c r="D31" s="34">
        <v>0</v>
      </c>
      <c r="E31" s="34"/>
      <c r="F31" s="34"/>
      <c r="G31" s="129">
        <v>0</v>
      </c>
      <c r="H31" s="132" t="s">
        <v>153</v>
      </c>
      <c r="I31" s="130"/>
      <c r="J31" s="34"/>
      <c r="K31" s="34"/>
      <c r="L31" s="35">
        <v>40</v>
      </c>
      <c r="M31" s="35"/>
      <c r="N31" s="45"/>
      <c r="O31" s="36">
        <v>36.11</v>
      </c>
      <c r="P31" s="37"/>
      <c r="Q31" s="38"/>
      <c r="R31" s="38"/>
      <c r="S31" s="38"/>
      <c r="T31" s="38">
        <v>0.55000000000000004</v>
      </c>
      <c r="U31" s="39">
        <f t="shared" si="10"/>
        <v>0.55000000000000004</v>
      </c>
      <c r="V31" s="40"/>
      <c r="W31" s="41"/>
      <c r="X31" s="41">
        <v>0.3</v>
      </c>
      <c r="Y31" s="41"/>
      <c r="Z31" s="41">
        <v>0.05</v>
      </c>
      <c r="AA31" s="41"/>
      <c r="AB31" s="41"/>
      <c r="AC31" s="41">
        <v>0.1</v>
      </c>
      <c r="AD31" s="39">
        <f t="shared" si="11"/>
        <v>0.44999999999999996</v>
      </c>
      <c r="AE31" s="101">
        <f t="shared" si="12"/>
        <v>1</v>
      </c>
      <c r="AF31" s="75" t="s">
        <v>180</v>
      </c>
      <c r="AG31" s="42">
        <v>0.75</v>
      </c>
      <c r="AH31" s="75" t="s">
        <v>9</v>
      </c>
      <c r="AI31" s="42">
        <v>0.15</v>
      </c>
      <c r="AJ31" s="75" t="s">
        <v>195</v>
      </c>
      <c r="AK31" s="127">
        <v>0.1</v>
      </c>
      <c r="AL31" s="101">
        <f t="shared" si="13"/>
        <v>1</v>
      </c>
      <c r="AM31" s="43">
        <v>31</v>
      </c>
      <c r="AN31" s="96">
        <v>37</v>
      </c>
      <c r="AO31" s="114">
        <v>0.1</v>
      </c>
      <c r="AP31" s="152" t="s">
        <v>170</v>
      </c>
      <c r="AQ31" s="115">
        <v>0.1</v>
      </c>
      <c r="AR31" s="152"/>
      <c r="AS31" s="122"/>
      <c r="AT31" s="152"/>
      <c r="AU31" s="123"/>
      <c r="AV31" s="101">
        <f t="shared" si="14"/>
        <v>0.1</v>
      </c>
      <c r="AW31" s="44" t="s">
        <v>248</v>
      </c>
    </row>
    <row r="32" spans="1:49" ht="28.8">
      <c r="A32" s="32">
        <v>24</v>
      </c>
      <c r="B32" s="33" t="s">
        <v>223</v>
      </c>
      <c r="C32" s="34">
        <v>1</v>
      </c>
      <c r="D32" s="34">
        <v>0</v>
      </c>
      <c r="E32" s="34"/>
      <c r="F32" s="34"/>
      <c r="G32" s="129">
        <v>0</v>
      </c>
      <c r="H32" s="132" t="s">
        <v>153</v>
      </c>
      <c r="I32" s="130"/>
      <c r="J32" s="34"/>
      <c r="K32" s="34"/>
      <c r="L32" s="35">
        <v>40</v>
      </c>
      <c r="M32" s="35"/>
      <c r="N32" s="45"/>
      <c r="O32" s="36">
        <v>28.66</v>
      </c>
      <c r="P32" s="37"/>
      <c r="Q32" s="38">
        <v>0.3</v>
      </c>
      <c r="R32" s="38"/>
      <c r="S32" s="38"/>
      <c r="T32" s="38">
        <v>0.35</v>
      </c>
      <c r="U32" s="39">
        <f t="shared" si="10"/>
        <v>0.64999999999999991</v>
      </c>
      <c r="V32" s="40"/>
      <c r="W32" s="41"/>
      <c r="X32" s="41">
        <v>0.2</v>
      </c>
      <c r="Y32" s="41"/>
      <c r="Z32" s="41">
        <v>0.05</v>
      </c>
      <c r="AA32" s="41"/>
      <c r="AB32" s="41"/>
      <c r="AC32" s="41">
        <v>0.1</v>
      </c>
      <c r="AD32" s="39">
        <f t="shared" si="11"/>
        <v>0.35</v>
      </c>
      <c r="AE32" s="101">
        <f t="shared" si="12"/>
        <v>0.99999999999999989</v>
      </c>
      <c r="AF32" s="75" t="s">
        <v>17</v>
      </c>
      <c r="AG32" s="42">
        <v>0.5</v>
      </c>
      <c r="AH32" s="75" t="s">
        <v>180</v>
      </c>
      <c r="AI32" s="42">
        <v>0.25</v>
      </c>
      <c r="AJ32" s="75" t="s">
        <v>10</v>
      </c>
      <c r="AK32" s="127">
        <v>0.25</v>
      </c>
      <c r="AL32" s="101">
        <f t="shared" si="13"/>
        <v>1</v>
      </c>
      <c r="AM32" s="43">
        <v>28</v>
      </c>
      <c r="AN32" s="96">
        <v>33</v>
      </c>
      <c r="AO32" s="114">
        <v>0.9</v>
      </c>
      <c r="AP32" s="152" t="s">
        <v>170</v>
      </c>
      <c r="AQ32" s="115">
        <v>0.9</v>
      </c>
      <c r="AR32" s="152"/>
      <c r="AS32" s="122"/>
      <c r="AT32" s="152"/>
      <c r="AU32" s="123"/>
      <c r="AV32" s="101">
        <f t="shared" si="14"/>
        <v>0.9</v>
      </c>
      <c r="AW32" s="44"/>
    </row>
    <row r="33" spans="1:49" ht="15.75" customHeight="1">
      <c r="A33" s="32">
        <v>25</v>
      </c>
      <c r="B33" s="33" t="s">
        <v>220</v>
      </c>
      <c r="C33" s="34">
        <v>1</v>
      </c>
      <c r="D33" s="34">
        <v>0</v>
      </c>
      <c r="E33" s="34"/>
      <c r="F33" s="34"/>
      <c r="G33" s="129">
        <v>0</v>
      </c>
      <c r="H33" s="132" t="s">
        <v>153</v>
      </c>
      <c r="I33" s="130"/>
      <c r="J33" s="34"/>
      <c r="K33" s="34"/>
      <c r="L33" s="35">
        <v>40</v>
      </c>
      <c r="M33" s="35"/>
      <c r="N33" s="45"/>
      <c r="O33" s="36">
        <v>29.47</v>
      </c>
      <c r="P33" s="37"/>
      <c r="Q33" s="38">
        <v>0.75</v>
      </c>
      <c r="R33" s="38"/>
      <c r="S33" s="38"/>
      <c r="T33" s="38"/>
      <c r="U33" s="39">
        <f t="shared" si="10"/>
        <v>0.75</v>
      </c>
      <c r="V33" s="40"/>
      <c r="W33" s="41"/>
      <c r="X33" s="41">
        <v>0.2</v>
      </c>
      <c r="Y33" s="41"/>
      <c r="Z33" s="41">
        <v>0.05</v>
      </c>
      <c r="AA33" s="41"/>
      <c r="AB33" s="41"/>
      <c r="AC33" s="41"/>
      <c r="AD33" s="39">
        <f t="shared" si="11"/>
        <v>0.25</v>
      </c>
      <c r="AE33" s="101">
        <f t="shared" si="12"/>
        <v>1</v>
      </c>
      <c r="AF33" s="75" t="s">
        <v>193</v>
      </c>
      <c r="AG33" s="42">
        <v>1</v>
      </c>
      <c r="AH33" s="75"/>
      <c r="AI33" s="42"/>
      <c r="AJ33" s="75"/>
      <c r="AK33" s="127"/>
      <c r="AL33" s="101">
        <f t="shared" si="13"/>
        <v>1</v>
      </c>
      <c r="AM33" s="43">
        <v>28</v>
      </c>
      <c r="AN33" s="96">
        <v>33</v>
      </c>
      <c r="AO33" s="114">
        <v>1</v>
      </c>
      <c r="AP33" s="152" t="s">
        <v>140</v>
      </c>
      <c r="AQ33" s="115">
        <v>1</v>
      </c>
      <c r="AR33" s="152"/>
      <c r="AS33" s="122"/>
      <c r="AT33" s="152"/>
      <c r="AU33" s="123"/>
      <c r="AV33" s="101">
        <f t="shared" si="14"/>
        <v>1</v>
      </c>
      <c r="AW33" s="44"/>
    </row>
    <row r="34" spans="1:49" ht="15.75" customHeight="1">
      <c r="A34" s="32">
        <v>26</v>
      </c>
      <c r="B34" s="33" t="s">
        <v>237</v>
      </c>
      <c r="C34" s="34">
        <v>1</v>
      </c>
      <c r="D34" s="34">
        <v>0</v>
      </c>
      <c r="E34" s="34"/>
      <c r="F34" s="34"/>
      <c r="G34" s="129">
        <v>0</v>
      </c>
      <c r="H34" s="132" t="s">
        <v>153</v>
      </c>
      <c r="I34" s="130"/>
      <c r="J34" s="34"/>
      <c r="K34" s="34"/>
      <c r="L34" s="35">
        <v>40</v>
      </c>
      <c r="M34" s="35"/>
      <c r="N34" s="45"/>
      <c r="O34" s="36">
        <v>29.47</v>
      </c>
      <c r="P34" s="37"/>
      <c r="Q34" s="38"/>
      <c r="R34" s="38"/>
      <c r="S34" s="38"/>
      <c r="T34" s="38">
        <v>0.7</v>
      </c>
      <c r="U34" s="39">
        <f t="shared" si="10"/>
        <v>0.7</v>
      </c>
      <c r="V34" s="40">
        <v>0.15</v>
      </c>
      <c r="W34" s="41"/>
      <c r="X34" s="41"/>
      <c r="Y34" s="41"/>
      <c r="Z34" s="41">
        <v>0.05</v>
      </c>
      <c r="AA34" s="41"/>
      <c r="AB34" s="41"/>
      <c r="AC34" s="41">
        <v>0.1</v>
      </c>
      <c r="AD34" s="39">
        <f t="shared" si="11"/>
        <v>0.30000000000000004</v>
      </c>
      <c r="AE34" s="101">
        <f t="shared" si="12"/>
        <v>1</v>
      </c>
      <c r="AF34" s="75" t="s">
        <v>180</v>
      </c>
      <c r="AG34" s="42">
        <v>0.55000000000000004</v>
      </c>
      <c r="AH34" s="75" t="s">
        <v>11</v>
      </c>
      <c r="AI34" s="42">
        <v>0.35</v>
      </c>
      <c r="AJ34" s="75" t="s">
        <v>10</v>
      </c>
      <c r="AK34" s="127">
        <v>0.1</v>
      </c>
      <c r="AL34" s="101">
        <f t="shared" si="13"/>
        <v>1</v>
      </c>
      <c r="AM34" s="43">
        <v>28</v>
      </c>
      <c r="AN34" s="96">
        <v>33</v>
      </c>
      <c r="AO34" s="114">
        <v>1</v>
      </c>
      <c r="AP34" s="152" t="s">
        <v>170</v>
      </c>
      <c r="AQ34" s="115">
        <v>1</v>
      </c>
      <c r="AR34" s="152"/>
      <c r="AS34" s="122"/>
      <c r="AT34" s="152"/>
      <c r="AU34" s="123"/>
      <c r="AV34" s="101">
        <f t="shared" si="14"/>
        <v>1</v>
      </c>
      <c r="AW34" s="44" t="s">
        <v>246</v>
      </c>
    </row>
    <row r="35" spans="1:49" ht="57.6">
      <c r="A35" s="32">
        <v>27</v>
      </c>
      <c r="B35" s="33" t="s">
        <v>217</v>
      </c>
      <c r="C35" s="34">
        <v>1</v>
      </c>
      <c r="D35" s="34">
        <v>0</v>
      </c>
      <c r="E35" s="34"/>
      <c r="F35" s="34"/>
      <c r="G35" s="129">
        <v>0</v>
      </c>
      <c r="H35" s="132" t="s">
        <v>153</v>
      </c>
      <c r="I35" s="130"/>
      <c r="J35" s="34"/>
      <c r="K35" s="34"/>
      <c r="L35" s="35">
        <v>40</v>
      </c>
      <c r="M35" s="35">
        <v>2</v>
      </c>
      <c r="N35" s="45"/>
      <c r="O35" s="36">
        <v>41.8</v>
      </c>
      <c r="P35" s="37">
        <v>0.3</v>
      </c>
      <c r="Q35" s="38"/>
      <c r="R35" s="38"/>
      <c r="S35" s="38"/>
      <c r="T35" s="38">
        <v>0.1</v>
      </c>
      <c r="U35" s="39">
        <f t="shared" si="10"/>
        <v>0.4</v>
      </c>
      <c r="V35" s="40">
        <v>0.1</v>
      </c>
      <c r="W35" s="41">
        <v>0.1</v>
      </c>
      <c r="X35" s="41">
        <v>0.05</v>
      </c>
      <c r="Y35" s="41">
        <v>0.1</v>
      </c>
      <c r="Z35" s="41">
        <v>0.05</v>
      </c>
      <c r="AA35" s="41">
        <v>0.05</v>
      </c>
      <c r="AB35" s="41">
        <v>0.1</v>
      </c>
      <c r="AC35" s="41">
        <v>0.05</v>
      </c>
      <c r="AD35" s="39">
        <f t="shared" si="11"/>
        <v>0.6</v>
      </c>
      <c r="AE35" s="101">
        <f t="shared" si="12"/>
        <v>1</v>
      </c>
      <c r="AF35" s="75" t="s">
        <v>184</v>
      </c>
      <c r="AG35" s="42">
        <v>0.5</v>
      </c>
      <c r="AH35" s="75" t="s">
        <v>183</v>
      </c>
      <c r="AI35" s="42">
        <v>0.2</v>
      </c>
      <c r="AJ35" s="75" t="s">
        <v>6</v>
      </c>
      <c r="AK35" s="127">
        <v>0.1</v>
      </c>
      <c r="AL35" s="101">
        <f t="shared" si="13"/>
        <v>0.8</v>
      </c>
      <c r="AM35" s="43">
        <v>36</v>
      </c>
      <c r="AN35" s="96">
        <v>43</v>
      </c>
      <c r="AO35" s="114">
        <v>0.9</v>
      </c>
      <c r="AP35" s="152" t="s">
        <v>141</v>
      </c>
      <c r="AQ35" s="115">
        <v>0.8</v>
      </c>
      <c r="AR35" s="152" t="s">
        <v>138</v>
      </c>
      <c r="AS35" s="122">
        <v>0.1</v>
      </c>
      <c r="AT35" s="152"/>
      <c r="AU35" s="123"/>
      <c r="AV35" s="101">
        <f t="shared" si="14"/>
        <v>0.9</v>
      </c>
      <c r="AW35" s="154" t="s">
        <v>240</v>
      </c>
    </row>
    <row r="36" spans="1:49" ht="43.2">
      <c r="A36" s="32">
        <v>28</v>
      </c>
      <c r="B36" s="33" t="s">
        <v>236</v>
      </c>
      <c r="C36" s="34">
        <v>0</v>
      </c>
      <c r="D36" s="34">
        <v>1</v>
      </c>
      <c r="E36" s="34"/>
      <c r="F36" s="34"/>
      <c r="G36" s="129">
        <v>0</v>
      </c>
      <c r="H36" s="132" t="s">
        <v>153</v>
      </c>
      <c r="I36" s="130"/>
      <c r="J36" s="34"/>
      <c r="K36" s="34"/>
      <c r="L36" s="35">
        <v>8</v>
      </c>
      <c r="M36" s="35"/>
      <c r="N36" s="45"/>
      <c r="O36" s="36">
        <v>34.119999999999997</v>
      </c>
      <c r="P36" s="37">
        <v>0.45</v>
      </c>
      <c r="Q36" s="38"/>
      <c r="R36" s="38"/>
      <c r="S36" s="38"/>
      <c r="T36" s="38">
        <v>0.1</v>
      </c>
      <c r="U36" s="39">
        <f t="shared" si="10"/>
        <v>0.55000000000000004</v>
      </c>
      <c r="V36" s="40"/>
      <c r="W36" s="41">
        <v>0.05</v>
      </c>
      <c r="X36" s="41">
        <v>0.3</v>
      </c>
      <c r="Y36" s="41"/>
      <c r="Z36" s="41">
        <v>0.05</v>
      </c>
      <c r="AA36" s="41"/>
      <c r="AB36" s="41"/>
      <c r="AC36" s="41">
        <v>0.05</v>
      </c>
      <c r="AD36" s="39">
        <f t="shared" si="11"/>
        <v>0.44999999999999996</v>
      </c>
      <c r="AE36" s="101">
        <f t="shared" si="12"/>
        <v>1</v>
      </c>
      <c r="AF36" s="75" t="s">
        <v>190</v>
      </c>
      <c r="AG36" s="42">
        <v>0.9</v>
      </c>
      <c r="AH36" s="75" t="s">
        <v>6</v>
      </c>
      <c r="AI36" s="42">
        <v>0.05</v>
      </c>
      <c r="AJ36" s="75" t="s">
        <v>183</v>
      </c>
      <c r="AK36" s="127">
        <v>0.05</v>
      </c>
      <c r="AL36" s="101">
        <f t="shared" si="13"/>
        <v>1</v>
      </c>
      <c r="AM36" s="43">
        <v>33</v>
      </c>
      <c r="AN36" s="96">
        <v>39</v>
      </c>
      <c r="AO36" s="114">
        <v>1</v>
      </c>
      <c r="AP36" s="152" t="s">
        <v>141</v>
      </c>
      <c r="AQ36" s="115">
        <v>1</v>
      </c>
      <c r="AR36" s="152"/>
      <c r="AS36" s="122"/>
      <c r="AT36" s="152"/>
      <c r="AU36" s="123"/>
      <c r="AV36" s="153">
        <f t="shared" si="14"/>
        <v>1</v>
      </c>
      <c r="AW36" s="156"/>
    </row>
    <row r="37" spans="1:49" ht="43.2">
      <c r="A37" s="32">
        <v>29</v>
      </c>
      <c r="B37" s="33" t="s">
        <v>207</v>
      </c>
      <c r="C37" s="34">
        <v>1</v>
      </c>
      <c r="D37" s="34">
        <v>0</v>
      </c>
      <c r="E37" s="34"/>
      <c r="F37" s="34"/>
      <c r="G37" s="129">
        <v>0</v>
      </c>
      <c r="H37" s="132" t="s">
        <v>153</v>
      </c>
      <c r="I37" s="130"/>
      <c r="J37" s="34"/>
      <c r="K37" s="34"/>
      <c r="L37" s="35">
        <v>40</v>
      </c>
      <c r="M37" s="35"/>
      <c r="N37" s="45" t="s">
        <v>56</v>
      </c>
      <c r="O37" s="36">
        <v>37.909999999999997</v>
      </c>
      <c r="P37" s="37">
        <v>0.35</v>
      </c>
      <c r="Q37" s="38"/>
      <c r="R37" s="38"/>
      <c r="S37" s="38"/>
      <c r="T37" s="38">
        <v>0.1</v>
      </c>
      <c r="U37" s="39">
        <f t="shared" si="0"/>
        <v>0.44999999999999996</v>
      </c>
      <c r="V37" s="40">
        <v>0.2</v>
      </c>
      <c r="W37" s="41">
        <v>0.05</v>
      </c>
      <c r="X37" s="41">
        <v>0.05</v>
      </c>
      <c r="Y37" s="41"/>
      <c r="Z37" s="41">
        <v>0.05</v>
      </c>
      <c r="AA37" s="41">
        <v>0.1</v>
      </c>
      <c r="AB37" s="41"/>
      <c r="AC37" s="41">
        <v>0.1</v>
      </c>
      <c r="AD37" s="39">
        <f t="shared" si="1"/>
        <v>0.54999999999999993</v>
      </c>
      <c r="AE37" s="101">
        <f t="shared" si="2"/>
        <v>0.99999999999999989</v>
      </c>
      <c r="AF37" s="75" t="s">
        <v>183</v>
      </c>
      <c r="AG37" s="42">
        <v>0.5</v>
      </c>
      <c r="AH37" s="75" t="s">
        <v>190</v>
      </c>
      <c r="AI37" s="42">
        <v>0.3</v>
      </c>
      <c r="AJ37" s="75" t="s">
        <v>181</v>
      </c>
      <c r="AK37" s="127">
        <v>0.05</v>
      </c>
      <c r="AL37" s="101">
        <f t="shared" si="3"/>
        <v>0.85</v>
      </c>
      <c r="AM37" s="43">
        <v>33</v>
      </c>
      <c r="AN37" s="96">
        <v>39</v>
      </c>
      <c r="AO37" s="114">
        <v>0.8</v>
      </c>
      <c r="AP37" s="152" t="s">
        <v>141</v>
      </c>
      <c r="AQ37" s="115">
        <v>0.8</v>
      </c>
      <c r="AR37" s="152"/>
      <c r="AS37" s="122"/>
      <c r="AT37" s="152"/>
      <c r="AU37" s="123"/>
      <c r="AV37" s="101">
        <f t="shared" si="4"/>
        <v>0.8</v>
      </c>
      <c r="AW37" s="155"/>
    </row>
    <row r="38" spans="1:49" ht="43.2">
      <c r="A38" s="32">
        <v>30</v>
      </c>
      <c r="B38" s="33" t="s">
        <v>207</v>
      </c>
      <c r="C38" s="34">
        <v>1</v>
      </c>
      <c r="D38" s="34">
        <v>0</v>
      </c>
      <c r="E38" s="34"/>
      <c r="F38" s="34"/>
      <c r="G38" s="129">
        <v>0</v>
      </c>
      <c r="H38" s="132" t="s">
        <v>153</v>
      </c>
      <c r="I38" s="130"/>
      <c r="J38" s="34"/>
      <c r="K38" s="34"/>
      <c r="L38" s="35">
        <v>40</v>
      </c>
      <c r="M38" s="35"/>
      <c r="N38" s="45" t="s">
        <v>56</v>
      </c>
      <c r="O38" s="36">
        <v>36.96</v>
      </c>
      <c r="P38" s="37">
        <v>0.6</v>
      </c>
      <c r="Q38" s="38"/>
      <c r="R38" s="38"/>
      <c r="S38" s="38"/>
      <c r="T38" s="38">
        <v>0.1</v>
      </c>
      <c r="U38" s="39">
        <f t="shared" si="0"/>
        <v>0.7</v>
      </c>
      <c r="V38" s="40">
        <v>0.1</v>
      </c>
      <c r="W38" s="41">
        <v>0.05</v>
      </c>
      <c r="X38" s="41">
        <v>0.05</v>
      </c>
      <c r="Y38" s="41"/>
      <c r="Z38" s="41">
        <v>0.05</v>
      </c>
      <c r="AA38" s="41"/>
      <c r="AB38" s="41"/>
      <c r="AC38" s="41">
        <v>0.05</v>
      </c>
      <c r="AD38" s="39">
        <f t="shared" si="1"/>
        <v>0.3</v>
      </c>
      <c r="AE38" s="101">
        <f t="shared" si="2"/>
        <v>1</v>
      </c>
      <c r="AF38" s="75" t="s">
        <v>190</v>
      </c>
      <c r="AG38" s="42">
        <v>0.5</v>
      </c>
      <c r="AH38" s="75" t="s">
        <v>183</v>
      </c>
      <c r="AI38" s="42">
        <v>0.3</v>
      </c>
      <c r="AJ38" s="75" t="s">
        <v>181</v>
      </c>
      <c r="AK38" s="127">
        <v>0.05</v>
      </c>
      <c r="AL38" s="101">
        <f t="shared" si="3"/>
        <v>0.85</v>
      </c>
      <c r="AM38" s="43">
        <v>33</v>
      </c>
      <c r="AN38" s="96">
        <v>39</v>
      </c>
      <c r="AO38" s="114">
        <v>0.8</v>
      </c>
      <c r="AP38" s="152" t="s">
        <v>141</v>
      </c>
      <c r="AQ38" s="115">
        <v>0.8</v>
      </c>
      <c r="AR38" s="152"/>
      <c r="AS38" s="122"/>
      <c r="AT38" s="152"/>
      <c r="AU38" s="123"/>
      <c r="AV38" s="101">
        <f t="shared" si="4"/>
        <v>0.8</v>
      </c>
      <c r="AW38" s="44"/>
    </row>
    <row r="39" spans="1:49" ht="15.75" customHeight="1">
      <c r="A39" s="32">
        <v>31</v>
      </c>
      <c r="B39" s="33" t="s">
        <v>207</v>
      </c>
      <c r="C39" s="34">
        <v>0</v>
      </c>
      <c r="D39" s="34">
        <v>1</v>
      </c>
      <c r="E39" s="34"/>
      <c r="F39" s="34"/>
      <c r="G39" s="129">
        <v>0</v>
      </c>
      <c r="H39" s="132" t="s">
        <v>153</v>
      </c>
      <c r="I39" s="130"/>
      <c r="J39" s="34"/>
      <c r="K39" s="34"/>
      <c r="L39" s="35">
        <v>20</v>
      </c>
      <c r="M39" s="35"/>
      <c r="N39" s="45"/>
      <c r="O39" s="36">
        <v>36.96</v>
      </c>
      <c r="P39" s="37">
        <v>0.3</v>
      </c>
      <c r="Q39" s="38"/>
      <c r="R39" s="38"/>
      <c r="S39" s="38"/>
      <c r="T39" s="38">
        <v>0.1</v>
      </c>
      <c r="U39" s="39">
        <f>SUM(P39:T39)</f>
        <v>0.4</v>
      </c>
      <c r="V39" s="40">
        <v>0.05</v>
      </c>
      <c r="W39" s="41"/>
      <c r="X39" s="41">
        <v>0.3</v>
      </c>
      <c r="Y39" s="41"/>
      <c r="Z39" s="41">
        <v>0.05</v>
      </c>
      <c r="AA39" s="41">
        <v>0.1</v>
      </c>
      <c r="AB39" s="41"/>
      <c r="AC39" s="41">
        <v>0.1</v>
      </c>
      <c r="AD39" s="39">
        <f>SUM(V39:AC39)</f>
        <v>0.6</v>
      </c>
      <c r="AE39" s="101">
        <f>AD39+U39</f>
        <v>1</v>
      </c>
      <c r="AF39" s="75" t="s">
        <v>190</v>
      </c>
      <c r="AG39" s="42">
        <v>0.5</v>
      </c>
      <c r="AH39" s="75" t="s">
        <v>183</v>
      </c>
      <c r="AI39" s="42">
        <v>0.2</v>
      </c>
      <c r="AJ39" s="75" t="s">
        <v>6</v>
      </c>
      <c r="AK39" s="127">
        <v>0.1</v>
      </c>
      <c r="AL39" s="101">
        <f>SUM(AK39,AI39,AG39)</f>
        <v>0.8</v>
      </c>
      <c r="AM39" s="43">
        <v>33</v>
      </c>
      <c r="AN39" s="96">
        <v>39</v>
      </c>
      <c r="AO39" s="114">
        <v>0.5</v>
      </c>
      <c r="AP39" s="152" t="s">
        <v>141</v>
      </c>
      <c r="AQ39" s="115">
        <v>0.5</v>
      </c>
      <c r="AR39" s="152"/>
      <c r="AS39" s="122"/>
      <c r="AT39" s="152"/>
      <c r="AU39" s="123"/>
      <c r="AV39" s="101">
        <f>SUM(AU39,AS39,AQ39)</f>
        <v>0.5</v>
      </c>
      <c r="AW39" s="44"/>
    </row>
    <row r="40" spans="1:49" ht="15.75" customHeight="1">
      <c r="A40" s="32">
        <v>32</v>
      </c>
      <c r="B40" s="33" t="s">
        <v>219</v>
      </c>
      <c r="C40" s="34">
        <v>1</v>
      </c>
      <c r="D40" s="34">
        <v>0</v>
      </c>
      <c r="E40" s="34"/>
      <c r="F40" s="34"/>
      <c r="G40" s="129">
        <v>0</v>
      </c>
      <c r="H40" s="132" t="s">
        <v>153</v>
      </c>
      <c r="I40" s="130"/>
      <c r="J40" s="34"/>
      <c r="K40" s="34"/>
      <c r="L40" s="35">
        <v>40</v>
      </c>
      <c r="M40" s="35"/>
      <c r="N40" s="45"/>
      <c r="O40" s="36">
        <v>41.8</v>
      </c>
      <c r="P40" s="37"/>
      <c r="Q40" s="38"/>
      <c r="R40" s="38">
        <v>0.4</v>
      </c>
      <c r="S40" s="38"/>
      <c r="T40" s="38"/>
      <c r="U40" s="39">
        <f>SUM(P40:T40)</f>
        <v>0.4</v>
      </c>
      <c r="V40" s="40">
        <v>0.2</v>
      </c>
      <c r="W40" s="41">
        <v>0.05</v>
      </c>
      <c r="X40" s="41">
        <v>0.05</v>
      </c>
      <c r="Y40" s="41"/>
      <c r="Z40" s="41"/>
      <c r="AA40" s="41"/>
      <c r="AB40" s="41">
        <v>0.1</v>
      </c>
      <c r="AC40" s="41">
        <v>0.2</v>
      </c>
      <c r="AD40" s="39">
        <f>SUM(V40:AC40)</f>
        <v>0.60000000000000009</v>
      </c>
      <c r="AE40" s="101">
        <f>AD40+U40</f>
        <v>1</v>
      </c>
      <c r="AF40" s="75" t="s">
        <v>184</v>
      </c>
      <c r="AG40" s="42">
        <v>0.5</v>
      </c>
      <c r="AH40" s="75" t="s">
        <v>9</v>
      </c>
      <c r="AI40" s="42">
        <v>0.1</v>
      </c>
      <c r="AJ40" s="75" t="s">
        <v>4</v>
      </c>
      <c r="AK40" s="127">
        <v>0.2</v>
      </c>
      <c r="AL40" s="101">
        <f>SUM(AK40,AI40,AG40)</f>
        <v>0.8</v>
      </c>
      <c r="AM40" s="43">
        <v>36</v>
      </c>
      <c r="AN40" s="96">
        <v>43</v>
      </c>
      <c r="AO40" s="114">
        <v>0</v>
      </c>
      <c r="AP40" s="152"/>
      <c r="AQ40" s="115"/>
      <c r="AR40" s="152"/>
      <c r="AS40" s="122"/>
      <c r="AT40" s="152"/>
      <c r="AU40" s="123"/>
      <c r="AV40" s="101">
        <f>SUM(AU40,AS40,AQ40)</f>
        <v>0</v>
      </c>
      <c r="AW40" s="44"/>
    </row>
    <row r="41" spans="1:49" ht="15.75" customHeight="1">
      <c r="A41" s="32">
        <v>33</v>
      </c>
      <c r="B41" s="33" t="s">
        <v>209</v>
      </c>
      <c r="C41" s="34">
        <v>0</v>
      </c>
      <c r="D41" s="34">
        <v>1</v>
      </c>
      <c r="E41" s="34"/>
      <c r="F41" s="34"/>
      <c r="G41" s="129">
        <v>0</v>
      </c>
      <c r="H41" s="132" t="s">
        <v>154</v>
      </c>
      <c r="I41" s="130"/>
      <c r="J41" s="34"/>
      <c r="K41" s="34"/>
      <c r="L41" s="35">
        <v>20</v>
      </c>
      <c r="M41" s="35"/>
      <c r="N41" s="45" t="s">
        <v>56</v>
      </c>
      <c r="O41" s="36">
        <v>34.49</v>
      </c>
      <c r="P41" s="37"/>
      <c r="Q41" s="38"/>
      <c r="R41" s="38">
        <v>0.4</v>
      </c>
      <c r="S41" s="38"/>
      <c r="T41" s="38"/>
      <c r="U41" s="39">
        <f t="shared" si="0"/>
        <v>0.4</v>
      </c>
      <c r="V41" s="40">
        <v>0.1</v>
      </c>
      <c r="W41" s="41"/>
      <c r="X41" s="41">
        <v>0.1</v>
      </c>
      <c r="Y41" s="41"/>
      <c r="Z41" s="41"/>
      <c r="AA41" s="41"/>
      <c r="AB41" s="41"/>
      <c r="AC41" s="41">
        <v>0.4</v>
      </c>
      <c r="AD41" s="39">
        <f t="shared" si="1"/>
        <v>0.60000000000000009</v>
      </c>
      <c r="AE41" s="101">
        <f t="shared" si="2"/>
        <v>1</v>
      </c>
      <c r="AF41" s="75" t="s">
        <v>198</v>
      </c>
      <c r="AG41" s="42">
        <v>1</v>
      </c>
      <c r="AH41" s="75"/>
      <c r="AI41" s="42"/>
      <c r="AJ41" s="75"/>
      <c r="AK41" s="127"/>
      <c r="AL41" s="101">
        <f t="shared" si="3"/>
        <v>1</v>
      </c>
      <c r="AM41" s="43">
        <v>30</v>
      </c>
      <c r="AN41" s="96">
        <v>35</v>
      </c>
      <c r="AO41" s="114">
        <v>0</v>
      </c>
      <c r="AP41" s="152"/>
      <c r="AQ41" s="115"/>
      <c r="AR41" s="152"/>
      <c r="AS41" s="122"/>
      <c r="AT41" s="152"/>
      <c r="AU41" s="123"/>
      <c r="AV41" s="101">
        <f t="shared" si="4"/>
        <v>0</v>
      </c>
      <c r="AW41" s="44"/>
    </row>
    <row r="42" spans="1:49" ht="15.75" customHeight="1">
      <c r="A42" s="32">
        <v>34</v>
      </c>
      <c r="B42" s="33" t="s">
        <v>211</v>
      </c>
      <c r="C42" s="34">
        <v>1</v>
      </c>
      <c r="D42" s="34">
        <v>0</v>
      </c>
      <c r="E42" s="34"/>
      <c r="F42" s="34"/>
      <c r="G42" s="129">
        <v>0</v>
      </c>
      <c r="H42" s="132" t="s">
        <v>239</v>
      </c>
      <c r="I42" s="130"/>
      <c r="J42" s="34"/>
      <c r="K42" s="34"/>
      <c r="L42" s="35">
        <v>40</v>
      </c>
      <c r="M42" s="35"/>
      <c r="N42" s="45"/>
      <c r="O42" s="36">
        <v>27.84</v>
      </c>
      <c r="P42" s="37"/>
      <c r="Q42" s="38"/>
      <c r="R42" s="38">
        <v>0.5</v>
      </c>
      <c r="S42" s="38"/>
      <c r="T42" s="38"/>
      <c r="U42" s="39">
        <f>SUM(P42:T42)</f>
        <v>0.5</v>
      </c>
      <c r="V42" s="40">
        <v>0.4</v>
      </c>
      <c r="W42" s="41"/>
      <c r="X42" s="41"/>
      <c r="Y42" s="41"/>
      <c r="Z42" s="41"/>
      <c r="AA42" s="41"/>
      <c r="AB42" s="41"/>
      <c r="AC42" s="41">
        <v>0.1</v>
      </c>
      <c r="AD42" s="39">
        <f>SUM(V42:AC42)</f>
        <v>0.5</v>
      </c>
      <c r="AE42" s="101">
        <f>AD42+U42</f>
        <v>1</v>
      </c>
      <c r="AF42" s="75" t="s">
        <v>198</v>
      </c>
      <c r="AG42" s="42">
        <v>1</v>
      </c>
      <c r="AH42" s="75"/>
      <c r="AI42" s="42"/>
      <c r="AJ42" s="75"/>
      <c r="AK42" s="127"/>
      <c r="AL42" s="101">
        <f>SUM(AK42,AI42,AG42)</f>
        <v>1</v>
      </c>
      <c r="AM42" s="43">
        <v>28</v>
      </c>
      <c r="AN42" s="96">
        <v>33</v>
      </c>
      <c r="AO42" s="114">
        <v>0</v>
      </c>
      <c r="AP42" s="152"/>
      <c r="AQ42" s="115"/>
      <c r="AR42" s="152"/>
      <c r="AS42" s="122"/>
      <c r="AT42" s="152"/>
      <c r="AU42" s="123"/>
      <c r="AV42" s="101">
        <f>SUM(AU42,AS42,AQ42)</f>
        <v>0</v>
      </c>
      <c r="AW42" s="44"/>
    </row>
    <row r="43" spans="1:49" ht="15.75" customHeight="1">
      <c r="A43" s="32">
        <v>35</v>
      </c>
      <c r="B43" s="33" t="s">
        <v>221</v>
      </c>
      <c r="C43" s="34">
        <v>1</v>
      </c>
      <c r="D43" s="34">
        <v>0</v>
      </c>
      <c r="E43" s="34"/>
      <c r="F43" s="34"/>
      <c r="G43" s="129">
        <v>0</v>
      </c>
      <c r="H43" s="132" t="s">
        <v>239</v>
      </c>
      <c r="I43" s="130"/>
      <c r="J43" s="34"/>
      <c r="K43" s="34"/>
      <c r="L43" s="35">
        <v>40</v>
      </c>
      <c r="M43" s="35"/>
      <c r="N43" s="45"/>
      <c r="O43" s="36">
        <v>34.83</v>
      </c>
      <c r="P43" s="37"/>
      <c r="Q43" s="38"/>
      <c r="R43" s="38">
        <v>0.4</v>
      </c>
      <c r="S43" s="38"/>
      <c r="T43" s="38"/>
      <c r="U43" s="39">
        <f>SUM(P43:T43)</f>
        <v>0.4</v>
      </c>
      <c r="V43" s="40">
        <v>0.4</v>
      </c>
      <c r="W43" s="41"/>
      <c r="X43" s="41">
        <v>0.05</v>
      </c>
      <c r="Y43" s="41"/>
      <c r="Z43" s="41"/>
      <c r="AA43" s="41">
        <v>0.05</v>
      </c>
      <c r="AB43" s="41"/>
      <c r="AC43" s="41">
        <v>0.1</v>
      </c>
      <c r="AD43" s="39">
        <f>SUM(V43:AC43)</f>
        <v>0.6</v>
      </c>
      <c r="AE43" s="101">
        <f>AD43+U43</f>
        <v>1</v>
      </c>
      <c r="AF43" s="75" t="s">
        <v>198</v>
      </c>
      <c r="AG43" s="42">
        <v>1</v>
      </c>
      <c r="AH43" s="75"/>
      <c r="AI43" s="42"/>
      <c r="AJ43" s="75"/>
      <c r="AK43" s="127"/>
      <c r="AL43" s="101">
        <f>SUM(AK43,AI43,AG43)</f>
        <v>1</v>
      </c>
      <c r="AM43" s="43">
        <v>35</v>
      </c>
      <c r="AN43" s="96">
        <v>41</v>
      </c>
      <c r="AO43" s="114">
        <v>0</v>
      </c>
      <c r="AP43" s="152"/>
      <c r="AQ43" s="115"/>
      <c r="AR43" s="152"/>
      <c r="AS43" s="122"/>
      <c r="AT43" s="152"/>
      <c r="AU43" s="123"/>
      <c r="AV43" s="101">
        <f>SUM(AU43,AS43,AQ43)</f>
        <v>0</v>
      </c>
      <c r="AW43" s="44"/>
    </row>
    <row r="44" spans="1:49" ht="43.2">
      <c r="A44" s="32">
        <v>36</v>
      </c>
      <c r="B44" s="33" t="s">
        <v>212</v>
      </c>
      <c r="C44" s="34">
        <v>1</v>
      </c>
      <c r="D44" s="34">
        <v>0</v>
      </c>
      <c r="E44" s="34"/>
      <c r="F44" s="34"/>
      <c r="G44" s="129">
        <v>0</v>
      </c>
      <c r="H44" s="132" t="s">
        <v>153</v>
      </c>
      <c r="I44" s="130"/>
      <c r="J44" s="34"/>
      <c r="K44" s="34"/>
      <c r="L44" s="35">
        <v>40</v>
      </c>
      <c r="M44" s="35">
        <v>4</v>
      </c>
      <c r="N44" s="45" t="s">
        <v>56</v>
      </c>
      <c r="O44" s="36">
        <v>39.71</v>
      </c>
      <c r="P44" s="37">
        <v>0.05</v>
      </c>
      <c r="Q44" s="38"/>
      <c r="R44" s="38">
        <v>0.4</v>
      </c>
      <c r="S44" s="38"/>
      <c r="T44" s="38"/>
      <c r="U44" s="39">
        <f>SUM(P44:T44)</f>
        <v>0.45</v>
      </c>
      <c r="V44" s="40">
        <v>0.05</v>
      </c>
      <c r="W44" s="41">
        <v>2.5000000000000001E-2</v>
      </c>
      <c r="X44" s="41"/>
      <c r="Y44" s="41">
        <v>0.1</v>
      </c>
      <c r="Z44" s="41"/>
      <c r="AA44" s="41">
        <v>0.05</v>
      </c>
      <c r="AB44" s="41">
        <v>0.3</v>
      </c>
      <c r="AC44" s="41">
        <v>0.02</v>
      </c>
      <c r="AD44" s="39">
        <f>SUM(V44:AC44)</f>
        <v>0.54500000000000004</v>
      </c>
      <c r="AE44" s="101">
        <f>AD44+U44</f>
        <v>0.99500000000000011</v>
      </c>
      <c r="AF44" s="75" t="s">
        <v>184</v>
      </c>
      <c r="AG44" s="42">
        <v>0.5</v>
      </c>
      <c r="AH44" s="75" t="s">
        <v>187</v>
      </c>
      <c r="AI44" s="42">
        <v>0.3</v>
      </c>
      <c r="AJ44" s="75" t="s">
        <v>6</v>
      </c>
      <c r="AK44" s="127">
        <v>0.1</v>
      </c>
      <c r="AL44" s="101">
        <f>SUM(AK44,AI44,AG44)</f>
        <v>0.9</v>
      </c>
      <c r="AM44" s="43">
        <v>36</v>
      </c>
      <c r="AN44" s="96">
        <v>43</v>
      </c>
      <c r="AO44" s="114">
        <v>0</v>
      </c>
      <c r="AP44" s="152"/>
      <c r="AQ44" s="115"/>
      <c r="AR44" s="152"/>
      <c r="AS44" s="122"/>
      <c r="AT44" s="152"/>
      <c r="AU44" s="123"/>
      <c r="AV44" s="101">
        <f>SUM(AU44,AS44,AQ44)</f>
        <v>0</v>
      </c>
      <c r="AW44" s="44" t="s">
        <v>242</v>
      </c>
    </row>
    <row r="45" spans="1:49" ht="15.75" customHeight="1">
      <c r="A45" s="32">
        <v>37</v>
      </c>
      <c r="B45" s="33" t="s">
        <v>235</v>
      </c>
      <c r="C45" s="34">
        <v>0</v>
      </c>
      <c r="D45" s="34">
        <v>1</v>
      </c>
      <c r="E45" s="34"/>
      <c r="F45" s="34"/>
      <c r="G45" s="129">
        <v>0</v>
      </c>
      <c r="H45" s="132" t="s">
        <v>154</v>
      </c>
      <c r="I45" s="130"/>
      <c r="J45" s="34"/>
      <c r="K45" s="34"/>
      <c r="L45" s="35">
        <v>32</v>
      </c>
      <c r="M45" s="35"/>
      <c r="N45" s="45" t="s">
        <v>56</v>
      </c>
      <c r="O45" s="36">
        <v>36.11</v>
      </c>
      <c r="P45" s="37">
        <v>7.0000000000000007E-2</v>
      </c>
      <c r="Q45" s="38"/>
      <c r="R45" s="38">
        <v>0.9</v>
      </c>
      <c r="S45" s="38"/>
      <c r="T45" s="38"/>
      <c r="U45" s="39">
        <f t="shared" si="0"/>
        <v>0.97</v>
      </c>
      <c r="V45" s="40"/>
      <c r="W45" s="41"/>
      <c r="X45" s="41"/>
      <c r="Y45" s="41"/>
      <c r="Z45" s="41"/>
      <c r="AA45" s="41">
        <v>0.03</v>
      </c>
      <c r="AB45" s="41"/>
      <c r="AC45" s="41"/>
      <c r="AD45" s="39">
        <f t="shared" si="1"/>
        <v>0.03</v>
      </c>
      <c r="AE45" s="101">
        <f t="shared" si="2"/>
        <v>1</v>
      </c>
      <c r="AF45" s="75" t="s">
        <v>186</v>
      </c>
      <c r="AG45" s="42">
        <v>0.9</v>
      </c>
      <c r="AH45" s="75" t="s">
        <v>6</v>
      </c>
      <c r="AI45" s="42">
        <v>0.1</v>
      </c>
      <c r="AJ45" s="75"/>
      <c r="AK45" s="127"/>
      <c r="AL45" s="101">
        <f t="shared" si="3"/>
        <v>1</v>
      </c>
      <c r="AM45" s="43">
        <v>31</v>
      </c>
      <c r="AN45" s="96">
        <v>37</v>
      </c>
      <c r="AO45" s="114">
        <v>0</v>
      </c>
      <c r="AP45" s="152"/>
      <c r="AQ45" s="115"/>
      <c r="AR45" s="152"/>
      <c r="AS45" s="122"/>
      <c r="AT45" s="152"/>
      <c r="AU45" s="123"/>
      <c r="AV45" s="101">
        <f t="shared" si="4"/>
        <v>0</v>
      </c>
      <c r="AW45" s="44"/>
    </row>
    <row r="46" spans="1:49" ht="15.75" customHeight="1">
      <c r="A46" s="32">
        <v>38</v>
      </c>
      <c r="B46" s="33" t="s">
        <v>235</v>
      </c>
      <c r="C46" s="34">
        <v>1</v>
      </c>
      <c r="D46" s="34">
        <v>0</v>
      </c>
      <c r="E46" s="34"/>
      <c r="F46" s="34"/>
      <c r="G46" s="129">
        <v>0</v>
      </c>
      <c r="H46" s="132" t="s">
        <v>154</v>
      </c>
      <c r="I46" s="130"/>
      <c r="J46" s="34"/>
      <c r="K46" s="34"/>
      <c r="L46" s="35">
        <v>40</v>
      </c>
      <c r="M46" s="35"/>
      <c r="N46" s="45" t="s">
        <v>56</v>
      </c>
      <c r="O46" s="36">
        <v>36.11</v>
      </c>
      <c r="P46" s="37">
        <v>7.0000000000000007E-2</v>
      </c>
      <c r="Q46" s="38"/>
      <c r="R46" s="38">
        <v>0.9</v>
      </c>
      <c r="S46" s="38"/>
      <c r="T46" s="38"/>
      <c r="U46" s="39">
        <f t="shared" si="0"/>
        <v>0.97</v>
      </c>
      <c r="V46" s="40"/>
      <c r="W46" s="41"/>
      <c r="X46" s="41"/>
      <c r="Y46" s="41"/>
      <c r="Z46" s="41"/>
      <c r="AA46" s="41">
        <v>0.03</v>
      </c>
      <c r="AB46" s="41"/>
      <c r="AC46" s="41"/>
      <c r="AD46" s="39">
        <f t="shared" si="1"/>
        <v>0.03</v>
      </c>
      <c r="AE46" s="101">
        <f t="shared" si="2"/>
        <v>1</v>
      </c>
      <c r="AF46" s="75" t="s">
        <v>186</v>
      </c>
      <c r="AG46" s="42">
        <v>0.9</v>
      </c>
      <c r="AH46" s="75" t="s">
        <v>6</v>
      </c>
      <c r="AI46" s="42">
        <v>0.1</v>
      </c>
      <c r="AJ46" s="75"/>
      <c r="AK46" s="127"/>
      <c r="AL46" s="101">
        <f t="shared" si="3"/>
        <v>1</v>
      </c>
      <c r="AM46" s="43">
        <v>31</v>
      </c>
      <c r="AN46" s="96">
        <v>37</v>
      </c>
      <c r="AO46" s="114">
        <v>0</v>
      </c>
      <c r="AP46" s="152"/>
      <c r="AQ46" s="115"/>
      <c r="AR46" s="152"/>
      <c r="AS46" s="122"/>
      <c r="AT46" s="152"/>
      <c r="AU46" s="123"/>
      <c r="AV46" s="101">
        <f t="shared" si="4"/>
        <v>0</v>
      </c>
      <c r="AW46" s="44"/>
    </row>
    <row r="47" spans="1:49" ht="15.75" customHeight="1">
      <c r="A47" s="32">
        <v>39</v>
      </c>
      <c r="B47" s="33" t="s">
        <v>235</v>
      </c>
      <c r="C47" s="34">
        <v>1</v>
      </c>
      <c r="D47" s="34">
        <v>0</v>
      </c>
      <c r="E47" s="34"/>
      <c r="F47" s="34"/>
      <c r="G47" s="129">
        <v>0</v>
      </c>
      <c r="H47" s="132" t="s">
        <v>154</v>
      </c>
      <c r="I47" s="130"/>
      <c r="J47" s="34"/>
      <c r="K47" s="34"/>
      <c r="L47" s="35">
        <v>40</v>
      </c>
      <c r="M47" s="35"/>
      <c r="N47" s="45"/>
      <c r="O47" s="36">
        <v>34.49</v>
      </c>
      <c r="P47" s="37">
        <v>7.0000000000000007E-2</v>
      </c>
      <c r="Q47" s="38"/>
      <c r="R47" s="38">
        <v>0.9</v>
      </c>
      <c r="S47" s="38"/>
      <c r="T47" s="38"/>
      <c r="U47" s="39">
        <f>SUM(P47:T47)</f>
        <v>0.97</v>
      </c>
      <c r="V47" s="40"/>
      <c r="W47" s="41"/>
      <c r="X47" s="41"/>
      <c r="Y47" s="41"/>
      <c r="Z47" s="41"/>
      <c r="AA47" s="41">
        <v>0.03</v>
      </c>
      <c r="AB47" s="41"/>
      <c r="AC47" s="41"/>
      <c r="AD47" s="39">
        <f>SUM(V47:AC47)</f>
        <v>0.03</v>
      </c>
      <c r="AE47" s="101">
        <f>AD47+U47</f>
        <v>1</v>
      </c>
      <c r="AF47" s="75" t="s">
        <v>186</v>
      </c>
      <c r="AG47" s="42">
        <v>0.9</v>
      </c>
      <c r="AH47" s="75" t="s">
        <v>6</v>
      </c>
      <c r="AI47" s="42">
        <v>0.1</v>
      </c>
      <c r="AJ47" s="75"/>
      <c r="AK47" s="127"/>
      <c r="AL47" s="101">
        <f>SUM(AK47,AI47,AG47)</f>
        <v>1</v>
      </c>
      <c r="AM47" s="43">
        <v>31</v>
      </c>
      <c r="AN47" s="96">
        <v>37</v>
      </c>
      <c r="AO47" s="114">
        <v>0</v>
      </c>
      <c r="AP47" s="152"/>
      <c r="AQ47" s="115"/>
      <c r="AR47" s="152"/>
      <c r="AS47" s="122"/>
      <c r="AT47" s="152"/>
      <c r="AU47" s="123"/>
      <c r="AV47" s="101">
        <f>SUM(AU47,AS47,AQ47)</f>
        <v>0</v>
      </c>
      <c r="AW47" s="44"/>
    </row>
    <row r="48" spans="1:49" ht="15.75" customHeight="1">
      <c r="A48" s="32">
        <v>40</v>
      </c>
      <c r="B48" s="33" t="s">
        <v>238</v>
      </c>
      <c r="C48" s="34">
        <v>1</v>
      </c>
      <c r="D48" s="34">
        <v>0</v>
      </c>
      <c r="E48" s="34"/>
      <c r="F48" s="34"/>
      <c r="G48" s="129">
        <v>0</v>
      </c>
      <c r="H48" s="132" t="s">
        <v>153</v>
      </c>
      <c r="I48" s="130"/>
      <c r="J48" s="34"/>
      <c r="K48" s="34"/>
      <c r="L48" s="35">
        <v>40</v>
      </c>
      <c r="M48" s="35"/>
      <c r="N48" s="45"/>
      <c r="O48" s="36">
        <v>41.8</v>
      </c>
      <c r="P48" s="37"/>
      <c r="Q48" s="38"/>
      <c r="R48" s="38">
        <v>0.4</v>
      </c>
      <c r="S48" s="38"/>
      <c r="T48" s="38"/>
      <c r="U48" s="39">
        <f>SUM(P48:T48)</f>
        <v>0.4</v>
      </c>
      <c r="V48" s="40"/>
      <c r="W48" s="41">
        <v>0.2</v>
      </c>
      <c r="X48" s="41"/>
      <c r="Y48" s="41">
        <v>0.05</v>
      </c>
      <c r="Z48" s="41"/>
      <c r="AA48" s="41">
        <v>0.05</v>
      </c>
      <c r="AB48" s="41">
        <v>0.3</v>
      </c>
      <c r="AC48" s="41"/>
      <c r="AD48" s="39">
        <f>SUM(V48:AC48)</f>
        <v>0.6</v>
      </c>
      <c r="AE48" s="101">
        <f>AD48+U48</f>
        <v>1</v>
      </c>
      <c r="AF48" s="75" t="s">
        <v>184</v>
      </c>
      <c r="AG48" s="42">
        <v>0.6</v>
      </c>
      <c r="AH48" s="75" t="s">
        <v>188</v>
      </c>
      <c r="AI48" s="42">
        <v>0.2</v>
      </c>
      <c r="AJ48" s="75" t="s">
        <v>189</v>
      </c>
      <c r="AK48" s="127">
        <v>0.1</v>
      </c>
      <c r="AL48" s="101">
        <f>SUM(AK48,AI48,AG48)</f>
        <v>0.9</v>
      </c>
      <c r="AM48" s="43">
        <v>36</v>
      </c>
      <c r="AN48" s="96">
        <v>43</v>
      </c>
      <c r="AO48" s="114">
        <v>0.6</v>
      </c>
      <c r="AP48" s="152" t="s">
        <v>170</v>
      </c>
      <c r="AQ48" s="115">
        <v>0.6</v>
      </c>
      <c r="AR48" s="152"/>
      <c r="AS48" s="122"/>
      <c r="AT48" s="152"/>
      <c r="AU48" s="123"/>
      <c r="AV48" s="101">
        <f>SUM(AU48,AS48,AQ48)</f>
        <v>0.6</v>
      </c>
      <c r="AW48" s="44" t="s">
        <v>249</v>
      </c>
    </row>
    <row r="49" spans="1:49" ht="15.75" customHeight="1">
      <c r="A49" s="32">
        <v>41</v>
      </c>
      <c r="B49" s="33" t="s">
        <v>233</v>
      </c>
      <c r="C49" s="34">
        <v>1</v>
      </c>
      <c r="D49" s="34">
        <v>0</v>
      </c>
      <c r="E49" s="34"/>
      <c r="F49" s="34"/>
      <c r="G49" s="129">
        <v>0</v>
      </c>
      <c r="H49" s="132" t="s">
        <v>239</v>
      </c>
      <c r="I49" s="130"/>
      <c r="J49" s="34"/>
      <c r="K49" s="34"/>
      <c r="L49" s="35">
        <v>40</v>
      </c>
      <c r="M49" s="35"/>
      <c r="N49" s="45"/>
      <c r="O49" s="36">
        <v>30.69</v>
      </c>
      <c r="P49" s="37"/>
      <c r="Q49" s="38"/>
      <c r="R49" s="38">
        <v>0.3</v>
      </c>
      <c r="S49" s="38"/>
      <c r="T49" s="38"/>
      <c r="U49" s="39">
        <f t="shared" si="0"/>
        <v>0.3</v>
      </c>
      <c r="V49" s="40">
        <v>0.1</v>
      </c>
      <c r="W49" s="41">
        <v>0.1</v>
      </c>
      <c r="X49" s="41">
        <v>0.4</v>
      </c>
      <c r="Y49" s="41"/>
      <c r="Z49" s="41"/>
      <c r="AA49" s="41"/>
      <c r="AB49" s="41"/>
      <c r="AC49" s="41">
        <v>0.1</v>
      </c>
      <c r="AD49" s="39">
        <f t="shared" si="1"/>
        <v>0.70000000000000007</v>
      </c>
      <c r="AE49" s="101">
        <f t="shared" si="2"/>
        <v>1</v>
      </c>
      <c r="AF49" s="75" t="s">
        <v>196</v>
      </c>
      <c r="AG49" s="42">
        <v>0.8</v>
      </c>
      <c r="AH49" s="75" t="s">
        <v>187</v>
      </c>
      <c r="AI49" s="42">
        <v>0.2</v>
      </c>
      <c r="AJ49" s="75"/>
      <c r="AK49" s="127"/>
      <c r="AL49" s="101">
        <f>SUM(AK49,AI49,AG49)</f>
        <v>1</v>
      </c>
      <c r="AM49" s="43">
        <v>31</v>
      </c>
      <c r="AN49" s="96">
        <v>37</v>
      </c>
      <c r="AO49" s="114">
        <v>1</v>
      </c>
      <c r="AP49" s="152" t="s">
        <v>170</v>
      </c>
      <c r="AQ49" s="115">
        <v>1</v>
      </c>
      <c r="AR49" s="152"/>
      <c r="AS49" s="122"/>
      <c r="AT49" s="152"/>
      <c r="AU49" s="123"/>
      <c r="AV49" s="101">
        <f t="shared" si="4"/>
        <v>1</v>
      </c>
      <c r="AW49" s="44" t="s">
        <v>241</v>
      </c>
    </row>
    <row r="50" spans="1:49" ht="15.75" customHeight="1">
      <c r="A50" s="32">
        <v>42</v>
      </c>
      <c r="B50" s="33" t="s">
        <v>210</v>
      </c>
      <c r="C50" s="34">
        <v>1</v>
      </c>
      <c r="D50" s="34">
        <v>0</v>
      </c>
      <c r="E50" s="34"/>
      <c r="F50" s="34"/>
      <c r="G50" s="129">
        <v>0</v>
      </c>
      <c r="H50" s="132" t="s">
        <v>239</v>
      </c>
      <c r="I50" s="130"/>
      <c r="J50" s="34"/>
      <c r="K50" s="34"/>
      <c r="L50" s="35">
        <v>40</v>
      </c>
      <c r="M50" s="35"/>
      <c r="N50" s="45"/>
      <c r="O50" s="36">
        <v>36.11</v>
      </c>
      <c r="P50" s="37"/>
      <c r="Q50" s="38"/>
      <c r="R50" s="38">
        <v>0.5</v>
      </c>
      <c r="S50" s="38"/>
      <c r="T50" s="38"/>
      <c r="U50" s="39">
        <f t="shared" si="0"/>
        <v>0.5</v>
      </c>
      <c r="V50" s="40"/>
      <c r="W50" s="41">
        <v>0.4</v>
      </c>
      <c r="X50" s="41"/>
      <c r="Y50" s="41"/>
      <c r="Z50" s="41"/>
      <c r="AA50" s="41">
        <v>0.1</v>
      </c>
      <c r="AB50" s="41"/>
      <c r="AC50" s="41"/>
      <c r="AD50" s="39">
        <f t="shared" si="1"/>
        <v>0.5</v>
      </c>
      <c r="AE50" s="101">
        <f t="shared" si="2"/>
        <v>1</v>
      </c>
      <c r="AF50" s="75" t="s">
        <v>188</v>
      </c>
      <c r="AG50" s="42">
        <v>0.5</v>
      </c>
      <c r="AH50" s="75" t="s">
        <v>179</v>
      </c>
      <c r="AI50" s="42">
        <v>0.3</v>
      </c>
      <c r="AJ50" s="75" t="s">
        <v>185</v>
      </c>
      <c r="AK50" s="127">
        <v>0.2</v>
      </c>
      <c r="AL50" s="101">
        <f>SUM(AK50,AI50,AG50)</f>
        <v>1</v>
      </c>
      <c r="AM50" s="43">
        <v>31</v>
      </c>
      <c r="AN50" s="96">
        <v>37</v>
      </c>
      <c r="AO50" s="114">
        <v>0.65</v>
      </c>
      <c r="AP50" s="152" t="s">
        <v>170</v>
      </c>
      <c r="AQ50" s="115">
        <v>0.65</v>
      </c>
      <c r="AR50" s="152"/>
      <c r="AS50" s="122"/>
      <c r="AT50" s="152"/>
      <c r="AU50" s="123"/>
      <c r="AV50" s="101">
        <f t="shared" si="4"/>
        <v>0.65</v>
      </c>
      <c r="AW50" s="44" t="s">
        <v>243</v>
      </c>
    </row>
    <row r="51" spans="1:49" ht="15.75" customHeight="1">
      <c r="A51" s="32">
        <v>43</v>
      </c>
      <c r="B51" s="33" t="s">
        <v>210</v>
      </c>
      <c r="C51" s="34">
        <v>1</v>
      </c>
      <c r="D51" s="34">
        <v>0</v>
      </c>
      <c r="E51" s="34"/>
      <c r="F51" s="34"/>
      <c r="G51" s="129">
        <v>0</v>
      </c>
      <c r="H51" s="132" t="s">
        <v>239</v>
      </c>
      <c r="I51" s="130"/>
      <c r="J51" s="34"/>
      <c r="K51" s="34"/>
      <c r="L51" s="35">
        <v>40</v>
      </c>
      <c r="M51" s="35"/>
      <c r="N51" s="45"/>
      <c r="O51" s="36">
        <v>32.49</v>
      </c>
      <c r="P51" s="37"/>
      <c r="Q51" s="38"/>
      <c r="R51" s="38">
        <v>0.5</v>
      </c>
      <c r="S51" s="38"/>
      <c r="T51" s="38"/>
      <c r="U51" s="39">
        <f t="shared" si="0"/>
        <v>0.5</v>
      </c>
      <c r="V51" s="40"/>
      <c r="W51" s="41">
        <v>0.4</v>
      </c>
      <c r="X51" s="41"/>
      <c r="Y51" s="41"/>
      <c r="Z51" s="41"/>
      <c r="AA51" s="41">
        <v>0.1</v>
      </c>
      <c r="AB51" s="41"/>
      <c r="AC51" s="41"/>
      <c r="AD51" s="39">
        <f t="shared" si="1"/>
        <v>0.5</v>
      </c>
      <c r="AE51" s="101">
        <f t="shared" si="2"/>
        <v>1</v>
      </c>
      <c r="AF51" s="75" t="s">
        <v>188</v>
      </c>
      <c r="AG51" s="42">
        <v>0.5</v>
      </c>
      <c r="AH51" s="75" t="s">
        <v>179</v>
      </c>
      <c r="AI51" s="42">
        <v>0.3</v>
      </c>
      <c r="AJ51" s="75" t="s">
        <v>185</v>
      </c>
      <c r="AK51" s="127">
        <v>0.2</v>
      </c>
      <c r="AL51" s="101">
        <f t="shared" si="3"/>
        <v>1</v>
      </c>
      <c r="AM51" s="43">
        <v>31</v>
      </c>
      <c r="AN51" s="96">
        <v>37</v>
      </c>
      <c r="AO51" s="114">
        <v>0.75</v>
      </c>
      <c r="AP51" s="152" t="s">
        <v>170</v>
      </c>
      <c r="AQ51" s="115">
        <v>0.75</v>
      </c>
      <c r="AR51" s="152"/>
      <c r="AS51" s="122"/>
      <c r="AT51" s="152"/>
      <c r="AU51" s="123"/>
      <c r="AV51" s="101">
        <f t="shared" si="4"/>
        <v>0.75</v>
      </c>
      <c r="AW51" s="44" t="s">
        <v>243</v>
      </c>
    </row>
    <row r="52" spans="1:49" ht="15.75" customHeight="1">
      <c r="A52" s="32"/>
      <c r="B52" s="33"/>
      <c r="C52" s="34"/>
      <c r="D52" s="34"/>
      <c r="E52" s="34"/>
      <c r="F52" s="34"/>
      <c r="G52" s="129"/>
      <c r="H52" s="132"/>
      <c r="I52" s="130"/>
      <c r="J52" s="34"/>
      <c r="K52" s="34"/>
      <c r="L52" s="35"/>
      <c r="M52" s="35"/>
      <c r="N52" s="45"/>
      <c r="O52" s="36"/>
      <c r="P52" s="37"/>
      <c r="Q52" s="38"/>
      <c r="R52" s="38"/>
      <c r="S52" s="38"/>
      <c r="T52" s="38"/>
      <c r="U52" s="39">
        <f t="shared" si="0"/>
        <v>0</v>
      </c>
      <c r="V52" s="40"/>
      <c r="W52" s="41"/>
      <c r="X52" s="41"/>
      <c r="Y52" s="41"/>
      <c r="Z52" s="41"/>
      <c r="AA52" s="41"/>
      <c r="AB52" s="41"/>
      <c r="AC52" s="41"/>
      <c r="AD52" s="39">
        <f t="shared" si="1"/>
        <v>0</v>
      </c>
      <c r="AE52" s="101">
        <f t="shared" si="2"/>
        <v>0</v>
      </c>
      <c r="AF52" s="75"/>
      <c r="AG52" s="42"/>
      <c r="AH52" s="75"/>
      <c r="AI52" s="42"/>
      <c r="AJ52" s="75"/>
      <c r="AK52" s="127"/>
      <c r="AL52" s="101">
        <f t="shared" si="3"/>
        <v>0</v>
      </c>
      <c r="AM52" s="43"/>
      <c r="AN52" s="96"/>
      <c r="AO52" s="114"/>
      <c r="AP52" s="152"/>
      <c r="AQ52" s="115"/>
      <c r="AR52" s="152"/>
      <c r="AS52" s="122"/>
      <c r="AT52" s="152"/>
      <c r="AU52" s="123"/>
      <c r="AV52" s="101">
        <f t="shared" si="4"/>
        <v>0</v>
      </c>
      <c r="AW52" s="44"/>
    </row>
    <row r="53" spans="1:49" ht="15.75" customHeight="1">
      <c r="A53" s="32"/>
      <c r="B53" s="33"/>
      <c r="C53" s="34"/>
      <c r="D53" s="34"/>
      <c r="E53" s="34"/>
      <c r="F53" s="34"/>
      <c r="G53" s="129"/>
      <c r="H53" s="132"/>
      <c r="I53" s="130"/>
      <c r="J53" s="34"/>
      <c r="K53" s="34"/>
      <c r="L53" s="35"/>
      <c r="M53" s="35"/>
      <c r="N53" s="45"/>
      <c r="O53" s="36"/>
      <c r="P53" s="37"/>
      <c r="Q53" s="38"/>
      <c r="R53" s="38"/>
      <c r="S53" s="38"/>
      <c r="T53" s="38"/>
      <c r="U53" s="39">
        <f t="shared" si="0"/>
        <v>0</v>
      </c>
      <c r="V53" s="40"/>
      <c r="W53" s="41"/>
      <c r="X53" s="41"/>
      <c r="Y53" s="41"/>
      <c r="Z53" s="41"/>
      <c r="AA53" s="41"/>
      <c r="AB53" s="41"/>
      <c r="AC53" s="41"/>
      <c r="AD53" s="39">
        <f t="shared" si="1"/>
        <v>0</v>
      </c>
      <c r="AE53" s="101">
        <f t="shared" si="2"/>
        <v>0</v>
      </c>
      <c r="AF53" s="75"/>
      <c r="AG53" s="42"/>
      <c r="AH53" s="75"/>
      <c r="AI53" s="42"/>
      <c r="AJ53" s="75"/>
      <c r="AK53" s="127"/>
      <c r="AL53" s="101">
        <f t="shared" si="3"/>
        <v>0</v>
      </c>
      <c r="AM53" s="43"/>
      <c r="AN53" s="96"/>
      <c r="AO53" s="114"/>
      <c r="AP53" s="152"/>
      <c r="AQ53" s="115"/>
      <c r="AR53" s="152"/>
      <c r="AS53" s="122"/>
      <c r="AT53" s="152"/>
      <c r="AU53" s="123"/>
      <c r="AV53" s="101">
        <f t="shared" si="4"/>
        <v>0</v>
      </c>
      <c r="AW53" s="44"/>
    </row>
    <row r="54" spans="1:49" ht="15.75" customHeight="1">
      <c r="A54" s="32"/>
      <c r="B54" s="33"/>
      <c r="C54" s="34"/>
      <c r="D54" s="34"/>
      <c r="E54" s="34"/>
      <c r="F54" s="34"/>
      <c r="G54" s="129"/>
      <c r="H54" s="132"/>
      <c r="I54" s="130"/>
      <c r="J54" s="34"/>
      <c r="K54" s="34"/>
      <c r="L54" s="35"/>
      <c r="M54" s="35"/>
      <c r="N54" s="45"/>
      <c r="O54" s="36"/>
      <c r="P54" s="37"/>
      <c r="Q54" s="38"/>
      <c r="R54" s="38"/>
      <c r="S54" s="38"/>
      <c r="T54" s="38"/>
      <c r="U54" s="39">
        <f t="shared" si="0"/>
        <v>0</v>
      </c>
      <c r="V54" s="40"/>
      <c r="W54" s="41"/>
      <c r="X54" s="41"/>
      <c r="Y54" s="41"/>
      <c r="Z54" s="41"/>
      <c r="AA54" s="41"/>
      <c r="AB54" s="41"/>
      <c r="AC54" s="41"/>
      <c r="AD54" s="39">
        <f t="shared" si="1"/>
        <v>0</v>
      </c>
      <c r="AE54" s="101">
        <f t="shared" si="2"/>
        <v>0</v>
      </c>
      <c r="AF54" s="75"/>
      <c r="AG54" s="42"/>
      <c r="AH54" s="75"/>
      <c r="AI54" s="42"/>
      <c r="AJ54" s="75"/>
      <c r="AK54" s="127"/>
      <c r="AL54" s="101">
        <f t="shared" si="3"/>
        <v>0</v>
      </c>
      <c r="AM54" s="43"/>
      <c r="AN54" s="96"/>
      <c r="AO54" s="114"/>
      <c r="AP54" s="152"/>
      <c r="AQ54" s="115"/>
      <c r="AR54" s="152"/>
      <c r="AS54" s="122"/>
      <c r="AT54" s="152"/>
      <c r="AU54" s="123"/>
      <c r="AV54" s="101">
        <f t="shared" si="4"/>
        <v>0</v>
      </c>
      <c r="AW54" s="44"/>
    </row>
    <row r="55" spans="1:49" ht="15.75" customHeight="1">
      <c r="A55" s="32"/>
      <c r="B55" s="33"/>
      <c r="C55" s="34"/>
      <c r="D55" s="34"/>
      <c r="E55" s="34"/>
      <c r="F55" s="34"/>
      <c r="G55" s="129"/>
      <c r="H55" s="132"/>
      <c r="I55" s="130"/>
      <c r="J55" s="34"/>
      <c r="K55" s="34"/>
      <c r="L55" s="35"/>
      <c r="M55" s="35"/>
      <c r="N55" s="45"/>
      <c r="O55" s="36"/>
      <c r="P55" s="37"/>
      <c r="Q55" s="38"/>
      <c r="R55" s="38"/>
      <c r="S55" s="38"/>
      <c r="T55" s="38"/>
      <c r="U55" s="39">
        <f t="shared" si="0"/>
        <v>0</v>
      </c>
      <c r="V55" s="40"/>
      <c r="W55" s="41"/>
      <c r="X55" s="41"/>
      <c r="Y55" s="41"/>
      <c r="Z55" s="41"/>
      <c r="AA55" s="41"/>
      <c r="AB55" s="41"/>
      <c r="AC55" s="41"/>
      <c r="AD55" s="39">
        <f t="shared" si="1"/>
        <v>0</v>
      </c>
      <c r="AE55" s="101">
        <f t="shared" si="2"/>
        <v>0</v>
      </c>
      <c r="AF55" s="75"/>
      <c r="AG55" s="42"/>
      <c r="AH55" s="75"/>
      <c r="AI55" s="42"/>
      <c r="AJ55" s="75"/>
      <c r="AK55" s="127"/>
      <c r="AL55" s="101">
        <f t="shared" si="3"/>
        <v>0</v>
      </c>
      <c r="AM55" s="43"/>
      <c r="AN55" s="96"/>
      <c r="AO55" s="114"/>
      <c r="AP55" s="152"/>
      <c r="AQ55" s="115"/>
      <c r="AR55" s="152"/>
      <c r="AS55" s="122"/>
      <c r="AT55" s="152"/>
      <c r="AU55" s="123"/>
      <c r="AV55" s="101">
        <f t="shared" si="4"/>
        <v>0</v>
      </c>
      <c r="AW55" s="44"/>
    </row>
    <row r="56" spans="1:49" ht="15.75" customHeight="1">
      <c r="A56" s="32"/>
      <c r="B56" s="33"/>
      <c r="C56" s="34"/>
      <c r="D56" s="34"/>
      <c r="E56" s="34"/>
      <c r="F56" s="34"/>
      <c r="G56" s="129"/>
      <c r="H56" s="132"/>
      <c r="I56" s="130"/>
      <c r="J56" s="34"/>
      <c r="K56" s="34"/>
      <c r="L56" s="35"/>
      <c r="M56" s="35"/>
      <c r="N56" s="45"/>
      <c r="O56" s="36"/>
      <c r="P56" s="37"/>
      <c r="Q56" s="38"/>
      <c r="R56" s="38"/>
      <c r="S56" s="38"/>
      <c r="T56" s="38"/>
      <c r="U56" s="39">
        <f t="shared" si="0"/>
        <v>0</v>
      </c>
      <c r="V56" s="40"/>
      <c r="W56" s="41"/>
      <c r="X56" s="41"/>
      <c r="Y56" s="41"/>
      <c r="Z56" s="41"/>
      <c r="AA56" s="41"/>
      <c r="AB56" s="41"/>
      <c r="AC56" s="41"/>
      <c r="AD56" s="39">
        <f t="shared" si="1"/>
        <v>0</v>
      </c>
      <c r="AE56" s="101">
        <f t="shared" si="2"/>
        <v>0</v>
      </c>
      <c r="AF56" s="75"/>
      <c r="AG56" s="42"/>
      <c r="AH56" s="75"/>
      <c r="AI56" s="42"/>
      <c r="AJ56" s="75"/>
      <c r="AK56" s="127"/>
      <c r="AL56" s="101">
        <f t="shared" si="3"/>
        <v>0</v>
      </c>
      <c r="AM56" s="43"/>
      <c r="AN56" s="96"/>
      <c r="AO56" s="114"/>
      <c r="AP56" s="152"/>
      <c r="AQ56" s="115"/>
      <c r="AR56" s="152"/>
      <c r="AS56" s="122"/>
      <c r="AT56" s="152"/>
      <c r="AU56" s="123"/>
      <c r="AV56" s="101">
        <f t="shared" si="4"/>
        <v>0</v>
      </c>
      <c r="AW56" s="44"/>
    </row>
    <row r="57" spans="1:49" ht="15.75" customHeight="1">
      <c r="A57" s="32"/>
      <c r="B57" s="33"/>
      <c r="C57" s="34"/>
      <c r="D57" s="34"/>
      <c r="E57" s="34"/>
      <c r="F57" s="34"/>
      <c r="G57" s="129"/>
      <c r="H57" s="132"/>
      <c r="I57" s="130"/>
      <c r="J57" s="34"/>
      <c r="K57" s="34"/>
      <c r="L57" s="35"/>
      <c r="M57" s="35"/>
      <c r="N57" s="45"/>
      <c r="O57" s="36"/>
      <c r="P57" s="37"/>
      <c r="Q57" s="38"/>
      <c r="R57" s="38"/>
      <c r="S57" s="38"/>
      <c r="T57" s="38"/>
      <c r="U57" s="39">
        <f t="shared" si="0"/>
        <v>0</v>
      </c>
      <c r="V57" s="40"/>
      <c r="W57" s="41"/>
      <c r="X57" s="41"/>
      <c r="Y57" s="41"/>
      <c r="Z57" s="41"/>
      <c r="AA57" s="41"/>
      <c r="AB57" s="41"/>
      <c r="AC57" s="41"/>
      <c r="AD57" s="39">
        <f t="shared" si="1"/>
        <v>0</v>
      </c>
      <c r="AE57" s="101">
        <f t="shared" si="2"/>
        <v>0</v>
      </c>
      <c r="AF57" s="75"/>
      <c r="AG57" s="42"/>
      <c r="AH57" s="75"/>
      <c r="AI57" s="42"/>
      <c r="AJ57" s="75"/>
      <c r="AK57" s="127"/>
      <c r="AL57" s="101">
        <f t="shared" si="3"/>
        <v>0</v>
      </c>
      <c r="AM57" s="43"/>
      <c r="AN57" s="96"/>
      <c r="AO57" s="114"/>
      <c r="AP57" s="152"/>
      <c r="AQ57" s="115"/>
      <c r="AR57" s="152"/>
      <c r="AS57" s="122"/>
      <c r="AT57" s="152"/>
      <c r="AU57" s="123"/>
      <c r="AV57" s="101">
        <f t="shared" si="4"/>
        <v>0</v>
      </c>
      <c r="AW57" s="44"/>
    </row>
    <row r="58" spans="1:49" ht="15.75" customHeight="1">
      <c r="A58" s="32"/>
      <c r="B58" s="33"/>
      <c r="C58" s="34"/>
      <c r="D58" s="34"/>
      <c r="E58" s="34"/>
      <c r="F58" s="34"/>
      <c r="G58" s="129"/>
      <c r="H58" s="132"/>
      <c r="I58" s="130"/>
      <c r="J58" s="34"/>
      <c r="K58" s="34"/>
      <c r="L58" s="35"/>
      <c r="M58" s="35"/>
      <c r="N58" s="45"/>
      <c r="O58" s="36"/>
      <c r="P58" s="37"/>
      <c r="Q58" s="38"/>
      <c r="R58" s="38"/>
      <c r="S58" s="38"/>
      <c r="T58" s="38"/>
      <c r="U58" s="39">
        <f t="shared" si="0"/>
        <v>0</v>
      </c>
      <c r="V58" s="40"/>
      <c r="W58" s="41"/>
      <c r="X58" s="41"/>
      <c r="Y58" s="41"/>
      <c r="Z58" s="41"/>
      <c r="AA58" s="41"/>
      <c r="AB58" s="41"/>
      <c r="AC58" s="41"/>
      <c r="AD58" s="39">
        <f t="shared" si="1"/>
        <v>0</v>
      </c>
      <c r="AE58" s="101">
        <f t="shared" si="2"/>
        <v>0</v>
      </c>
      <c r="AF58" s="75"/>
      <c r="AG58" s="42"/>
      <c r="AH58" s="75"/>
      <c r="AI58" s="42"/>
      <c r="AJ58" s="75"/>
      <c r="AK58" s="127"/>
      <c r="AL58" s="101">
        <f t="shared" si="3"/>
        <v>0</v>
      </c>
      <c r="AM58" s="43"/>
      <c r="AN58" s="96"/>
      <c r="AO58" s="114"/>
      <c r="AP58" s="152"/>
      <c r="AQ58" s="115"/>
      <c r="AR58" s="152"/>
      <c r="AS58" s="122"/>
      <c r="AT58" s="152"/>
      <c r="AU58" s="123"/>
      <c r="AV58" s="101">
        <f t="shared" si="4"/>
        <v>0</v>
      </c>
      <c r="AW58" s="44"/>
    </row>
    <row r="59" spans="1:49" ht="15.75" customHeight="1">
      <c r="A59" s="32"/>
      <c r="B59" s="33"/>
      <c r="C59" s="34"/>
      <c r="D59" s="34"/>
      <c r="E59" s="34"/>
      <c r="F59" s="34"/>
      <c r="G59" s="129"/>
      <c r="H59" s="132"/>
      <c r="I59" s="130"/>
      <c r="J59" s="34"/>
      <c r="K59" s="34"/>
      <c r="L59" s="35"/>
      <c r="M59" s="35"/>
      <c r="N59" s="45"/>
      <c r="O59" s="36"/>
      <c r="P59" s="37"/>
      <c r="Q59" s="38"/>
      <c r="R59" s="38"/>
      <c r="S59" s="38"/>
      <c r="T59" s="38"/>
      <c r="U59" s="39">
        <f t="shared" si="0"/>
        <v>0</v>
      </c>
      <c r="V59" s="40"/>
      <c r="W59" s="41"/>
      <c r="X59" s="41"/>
      <c r="Y59" s="41"/>
      <c r="Z59" s="41"/>
      <c r="AA59" s="41"/>
      <c r="AB59" s="41"/>
      <c r="AC59" s="41"/>
      <c r="AD59" s="39">
        <f t="shared" si="1"/>
        <v>0</v>
      </c>
      <c r="AE59" s="101">
        <f t="shared" si="2"/>
        <v>0</v>
      </c>
      <c r="AF59" s="75"/>
      <c r="AG59" s="42"/>
      <c r="AH59" s="75"/>
      <c r="AI59" s="42"/>
      <c r="AJ59" s="75"/>
      <c r="AK59" s="127"/>
      <c r="AL59" s="101">
        <f t="shared" si="3"/>
        <v>0</v>
      </c>
      <c r="AM59" s="43"/>
      <c r="AN59" s="96"/>
      <c r="AO59" s="114"/>
      <c r="AP59" s="152"/>
      <c r="AQ59" s="115"/>
      <c r="AR59" s="152"/>
      <c r="AS59" s="122"/>
      <c r="AT59" s="152"/>
      <c r="AU59" s="123"/>
      <c r="AV59" s="101">
        <f t="shared" si="4"/>
        <v>0</v>
      </c>
      <c r="AW59" s="44"/>
    </row>
    <row r="60" spans="1:49" ht="15.75" customHeight="1">
      <c r="A60" s="32"/>
      <c r="B60" s="33"/>
      <c r="C60" s="34"/>
      <c r="D60" s="34"/>
      <c r="E60" s="34"/>
      <c r="F60" s="34"/>
      <c r="G60" s="129"/>
      <c r="H60" s="132"/>
      <c r="I60" s="130"/>
      <c r="J60" s="34"/>
      <c r="K60" s="34"/>
      <c r="L60" s="35"/>
      <c r="M60" s="35"/>
      <c r="N60" s="45"/>
      <c r="O60" s="36"/>
      <c r="P60" s="37"/>
      <c r="Q60" s="38"/>
      <c r="R60" s="38"/>
      <c r="S60" s="38"/>
      <c r="T60" s="38"/>
      <c r="U60" s="39">
        <f t="shared" si="0"/>
        <v>0</v>
      </c>
      <c r="V60" s="40"/>
      <c r="W60" s="41"/>
      <c r="X60" s="41"/>
      <c r="Y60" s="41"/>
      <c r="Z60" s="41"/>
      <c r="AA60" s="41"/>
      <c r="AB60" s="41"/>
      <c r="AC60" s="41"/>
      <c r="AD60" s="39">
        <f t="shared" si="1"/>
        <v>0</v>
      </c>
      <c r="AE60" s="101">
        <f t="shared" si="2"/>
        <v>0</v>
      </c>
      <c r="AF60" s="75"/>
      <c r="AG60" s="42"/>
      <c r="AH60" s="75"/>
      <c r="AI60" s="42"/>
      <c r="AJ60" s="75"/>
      <c r="AK60" s="127"/>
      <c r="AL60" s="101">
        <f t="shared" si="3"/>
        <v>0</v>
      </c>
      <c r="AM60" s="43"/>
      <c r="AN60" s="96"/>
      <c r="AO60" s="114"/>
      <c r="AP60" s="152"/>
      <c r="AQ60" s="115"/>
      <c r="AR60" s="152"/>
      <c r="AS60" s="122"/>
      <c r="AT60" s="152"/>
      <c r="AU60" s="123"/>
      <c r="AV60" s="101">
        <f t="shared" si="4"/>
        <v>0</v>
      </c>
      <c r="AW60" s="44"/>
    </row>
    <row r="61" spans="1:49" ht="15.75" customHeight="1">
      <c r="A61" s="6"/>
      <c r="B61" s="4"/>
    </row>
    <row r="62" spans="1:49" ht="15.75" customHeight="1">
      <c r="A62" s="6"/>
      <c r="B62" s="4"/>
    </row>
    <row r="63" spans="1:49" ht="15.75" customHeight="1">
      <c r="A63" s="6"/>
      <c r="B63" s="4"/>
    </row>
    <row r="64" spans="1:49" ht="15.75" customHeight="1">
      <c r="A64" s="6"/>
      <c r="B64" s="4"/>
    </row>
    <row r="65" spans="1:2" ht="15.75" customHeight="1">
      <c r="A65" s="6"/>
      <c r="B65" s="4"/>
    </row>
    <row r="66" spans="1:2" ht="15.75" customHeight="1">
      <c r="A66" s="6"/>
      <c r="B66" s="4"/>
    </row>
    <row r="67" spans="1:2" ht="15.75" customHeight="1">
      <c r="A67" s="6"/>
      <c r="B67" s="4"/>
    </row>
    <row r="68" spans="1:2" ht="15.75" customHeight="1">
      <c r="A68" s="6"/>
      <c r="B68" s="4"/>
    </row>
    <row r="69" spans="1:2" ht="15.75" customHeight="1">
      <c r="A69" s="6"/>
      <c r="B69" s="4"/>
    </row>
    <row r="70" spans="1:2" ht="15.75" customHeight="1">
      <c r="A70" s="6"/>
      <c r="B70" s="4"/>
    </row>
    <row r="71" spans="1:2" ht="15.75" customHeight="1">
      <c r="A71" s="6"/>
      <c r="B71" s="4"/>
    </row>
    <row r="72" spans="1:2" ht="15.75" customHeight="1">
      <c r="A72" s="6"/>
      <c r="B72" s="4"/>
    </row>
    <row r="73" spans="1:2" ht="15.75" customHeight="1">
      <c r="A73" s="6"/>
      <c r="B73" s="4"/>
    </row>
    <row r="74" spans="1:2" ht="15.75" customHeight="1">
      <c r="A74" s="6"/>
      <c r="B74" s="4"/>
    </row>
    <row r="75" spans="1:2" ht="15.75" customHeight="1">
      <c r="A75" s="6"/>
      <c r="B75" s="4"/>
    </row>
    <row r="76" spans="1:2" ht="15.75" customHeight="1">
      <c r="A76" s="6"/>
      <c r="B76" s="4"/>
    </row>
    <row r="77" spans="1:2" ht="15.75" customHeight="1">
      <c r="A77" s="6"/>
      <c r="B77" s="4"/>
    </row>
    <row r="78" spans="1:2" ht="15.75" customHeight="1">
      <c r="A78" s="6"/>
      <c r="B78" s="4"/>
    </row>
    <row r="79" spans="1:2" ht="15.75" customHeight="1">
      <c r="A79" s="6"/>
      <c r="B79" s="4"/>
    </row>
    <row r="80" spans="1:2" ht="15.75" customHeight="1">
      <c r="A80" s="6"/>
      <c r="B80" s="4"/>
    </row>
    <row r="81" spans="1:2" ht="15.75" customHeight="1">
      <c r="A81" s="6"/>
      <c r="B81" s="4"/>
    </row>
    <row r="82" spans="1:2" ht="15.75" customHeight="1">
      <c r="A82" s="6"/>
      <c r="B82" s="4"/>
    </row>
    <row r="83" spans="1:2" ht="15.75" customHeight="1">
      <c r="A83" s="6"/>
      <c r="B83" s="4"/>
    </row>
    <row r="84" spans="1:2" ht="15.75" customHeight="1">
      <c r="A84" s="6"/>
      <c r="B84" s="4"/>
    </row>
    <row r="85" spans="1:2" ht="15.75" customHeight="1">
      <c r="A85" s="6"/>
      <c r="B85" s="4"/>
    </row>
    <row r="86" spans="1:2" ht="15.75" customHeight="1">
      <c r="A86" s="6"/>
      <c r="B86" s="4"/>
    </row>
    <row r="87" spans="1:2" ht="15.75" customHeight="1">
      <c r="A87" s="6"/>
      <c r="B87" s="4"/>
    </row>
    <row r="88" spans="1:2" ht="15.75" customHeight="1">
      <c r="A88" s="6"/>
      <c r="B88" s="4"/>
    </row>
    <row r="89" spans="1:2" ht="15.75" customHeight="1">
      <c r="A89" s="6"/>
      <c r="B89" s="4"/>
    </row>
    <row r="90" spans="1:2" ht="15.75" customHeight="1">
      <c r="A90" s="6"/>
      <c r="B90" s="4"/>
    </row>
    <row r="91" spans="1:2" ht="15.75" customHeight="1">
      <c r="A91" s="6"/>
      <c r="B91" s="4"/>
    </row>
    <row r="92" spans="1:2" ht="15.75" customHeight="1">
      <c r="A92" s="6"/>
      <c r="B92" s="4"/>
    </row>
    <row r="93" spans="1:2" ht="15.75" customHeight="1">
      <c r="A93" s="6"/>
      <c r="B93" s="4"/>
    </row>
    <row r="94" spans="1:2" ht="15.75" customHeight="1">
      <c r="A94" s="6"/>
      <c r="B94" s="4"/>
    </row>
    <row r="95" spans="1:2" ht="15.75" customHeight="1">
      <c r="A95" s="6"/>
      <c r="B95" s="4"/>
    </row>
    <row r="96" spans="1:2" ht="15.75" customHeight="1">
      <c r="A96" s="6"/>
      <c r="B96" s="4"/>
    </row>
    <row r="97" spans="1:2" ht="15.75" customHeight="1">
      <c r="A97" s="6"/>
      <c r="B97" s="4"/>
    </row>
    <row r="98" spans="1:2" ht="15.75" customHeight="1">
      <c r="A98" s="6"/>
      <c r="B98" s="4"/>
    </row>
    <row r="99" spans="1:2" ht="15.75" customHeight="1">
      <c r="A99" s="6"/>
      <c r="B99" s="4"/>
    </row>
    <row r="100" spans="1:2" ht="15.75" customHeight="1">
      <c r="A100" s="6"/>
      <c r="B100" s="4"/>
    </row>
    <row r="101" spans="1:2" ht="15.75" customHeight="1">
      <c r="A101" s="6"/>
      <c r="B101" s="4"/>
    </row>
    <row r="102" spans="1:2" ht="15.75" customHeight="1">
      <c r="A102" s="6"/>
      <c r="B102" s="4"/>
    </row>
    <row r="103" spans="1:2" ht="15.75" customHeight="1">
      <c r="A103" s="6"/>
      <c r="B103" s="4"/>
    </row>
    <row r="104" spans="1:2" ht="15.75" customHeight="1">
      <c r="A104" s="6"/>
      <c r="B104" s="4"/>
    </row>
    <row r="105" spans="1:2" ht="15.75" customHeight="1">
      <c r="A105" s="6"/>
      <c r="B105" s="4"/>
    </row>
    <row r="106" spans="1:2" ht="15.75" customHeight="1">
      <c r="A106" s="6"/>
      <c r="B106" s="4"/>
    </row>
    <row r="107" spans="1:2" ht="15.75" customHeight="1">
      <c r="A107" s="6"/>
      <c r="B107" s="4"/>
    </row>
    <row r="108" spans="1:2" ht="15.75" customHeight="1">
      <c r="A108" s="6"/>
      <c r="B108" s="4"/>
    </row>
    <row r="109" spans="1:2" ht="15.75" customHeight="1">
      <c r="A109" s="6"/>
      <c r="B109" s="4"/>
    </row>
    <row r="110" spans="1:2" ht="15.75" customHeight="1">
      <c r="A110" s="6"/>
      <c r="B110" s="4"/>
    </row>
    <row r="111" spans="1:2" ht="15.75" customHeight="1">
      <c r="A111" s="6"/>
      <c r="B111" s="4"/>
    </row>
    <row r="112" spans="1:2" ht="15.75" customHeight="1">
      <c r="A112" s="6"/>
      <c r="B112" s="4"/>
    </row>
    <row r="113" spans="1:2" ht="15.75" customHeight="1">
      <c r="A113" s="6"/>
      <c r="B113" s="4"/>
    </row>
    <row r="114" spans="1:2" ht="15.75" customHeight="1">
      <c r="A114" s="6"/>
      <c r="B114" s="4"/>
    </row>
    <row r="115" spans="1:2" ht="15.75" customHeight="1">
      <c r="A115" s="6"/>
      <c r="B115" s="4"/>
    </row>
    <row r="116" spans="1:2" ht="15.75" customHeight="1">
      <c r="A116" s="6"/>
      <c r="B116" s="4"/>
    </row>
    <row r="117" spans="1:2" ht="15.75" customHeight="1">
      <c r="A117" s="6"/>
      <c r="B117" s="4"/>
    </row>
    <row r="118" spans="1:2" ht="15.75" customHeight="1">
      <c r="A118" s="6"/>
      <c r="B118" s="4"/>
    </row>
    <row r="119" spans="1:2" ht="15.75" customHeight="1">
      <c r="A119" s="6"/>
      <c r="B119" s="4"/>
    </row>
    <row r="120" spans="1:2" ht="15.75" customHeight="1">
      <c r="A120" s="6"/>
      <c r="B120" s="4"/>
    </row>
    <row r="121" spans="1:2" ht="15.75" customHeight="1">
      <c r="A121" s="6"/>
      <c r="B121" s="4"/>
    </row>
    <row r="122" spans="1:2" ht="15.75" customHeight="1">
      <c r="A122" s="6"/>
      <c r="B122" s="4"/>
    </row>
    <row r="123" spans="1:2" ht="15.75" customHeight="1">
      <c r="A123" s="6"/>
      <c r="B123" s="4"/>
    </row>
    <row r="124" spans="1:2" ht="15.75" customHeight="1">
      <c r="A124" s="6"/>
      <c r="B124" s="4"/>
    </row>
    <row r="125" spans="1:2" ht="15.75" customHeight="1">
      <c r="A125" s="6"/>
      <c r="B125" s="4"/>
    </row>
    <row r="126" spans="1:2" ht="15.75" customHeight="1">
      <c r="A126" s="6"/>
      <c r="B126" s="4"/>
    </row>
    <row r="127" spans="1:2" ht="15.75" customHeight="1">
      <c r="A127" s="6"/>
      <c r="B127" s="4"/>
    </row>
    <row r="128" spans="1:2" ht="15.75" customHeight="1">
      <c r="A128" s="6"/>
      <c r="B128" s="4"/>
    </row>
    <row r="129" spans="1:2" ht="15.75" customHeight="1">
      <c r="A129" s="6"/>
      <c r="B129" s="4"/>
    </row>
    <row r="130" spans="1:2" ht="15.75" customHeight="1">
      <c r="A130" s="6"/>
      <c r="B130" s="4"/>
    </row>
    <row r="131" spans="1:2" ht="15.75" customHeight="1">
      <c r="A131" s="6"/>
      <c r="B131" s="4"/>
    </row>
    <row r="132" spans="1:2" ht="15.75" customHeight="1">
      <c r="A132" s="6"/>
      <c r="B132" s="4"/>
    </row>
    <row r="133" spans="1:2" ht="15.75" customHeight="1">
      <c r="A133" s="6"/>
      <c r="B133" s="4"/>
    </row>
    <row r="134" spans="1:2" ht="15.75" customHeight="1">
      <c r="A134" s="6"/>
      <c r="B134" s="4"/>
    </row>
    <row r="135" spans="1:2" ht="15.75" customHeight="1">
      <c r="A135" s="6"/>
      <c r="B135" s="4"/>
    </row>
    <row r="136" spans="1:2" ht="15.75" customHeight="1">
      <c r="A136" s="6"/>
      <c r="B136" s="4"/>
    </row>
    <row r="137" spans="1:2" ht="15.75" customHeight="1">
      <c r="A137" s="6"/>
      <c r="B137" s="4"/>
    </row>
    <row r="138" spans="1:2" ht="15.75" customHeight="1">
      <c r="A138" s="6"/>
      <c r="B138" s="4"/>
    </row>
    <row r="139" spans="1:2" ht="15.75" customHeight="1">
      <c r="A139" s="6"/>
      <c r="B139" s="4"/>
    </row>
    <row r="140" spans="1:2" ht="15.75" customHeight="1">
      <c r="A140" s="6"/>
      <c r="B140" s="4"/>
    </row>
    <row r="141" spans="1:2" ht="15.75" customHeight="1">
      <c r="A141" s="6"/>
      <c r="B141" s="4"/>
    </row>
    <row r="142" spans="1:2" ht="15.75" customHeight="1">
      <c r="A142" s="6"/>
      <c r="B142" s="4"/>
    </row>
    <row r="143" spans="1:2" ht="15.75" customHeight="1">
      <c r="A143" s="6"/>
      <c r="B143" s="4"/>
    </row>
    <row r="144" spans="1:2" ht="15.75" customHeight="1">
      <c r="A144" s="6"/>
      <c r="B144" s="4"/>
    </row>
    <row r="145" spans="1:2" ht="15.75" customHeight="1">
      <c r="A145" s="6"/>
      <c r="B145" s="4"/>
    </row>
    <row r="146" spans="1:2" ht="15.75" customHeight="1">
      <c r="A146" s="6"/>
      <c r="B146" s="4"/>
    </row>
    <row r="147" spans="1:2" ht="15.75" customHeight="1">
      <c r="A147" s="6"/>
      <c r="B147" s="4"/>
    </row>
    <row r="148" spans="1:2" ht="15.75" customHeight="1">
      <c r="A148" s="6"/>
      <c r="B148" s="4"/>
    </row>
    <row r="149" spans="1:2" ht="15.75" customHeight="1">
      <c r="A149" s="6"/>
      <c r="B149" s="4"/>
    </row>
    <row r="150" spans="1:2" ht="15.75" customHeight="1">
      <c r="A150" s="6"/>
      <c r="B150" s="4"/>
    </row>
    <row r="151" spans="1:2" ht="15.75" customHeight="1">
      <c r="A151" s="6"/>
      <c r="B151" s="4"/>
    </row>
    <row r="152" spans="1:2" ht="15.75" customHeight="1">
      <c r="A152" s="6"/>
      <c r="B152" s="4"/>
    </row>
    <row r="153" spans="1:2" ht="15.75" customHeight="1">
      <c r="A153" s="6"/>
      <c r="B153" s="4"/>
    </row>
    <row r="154" spans="1:2" ht="15.75" customHeight="1">
      <c r="A154" s="6"/>
      <c r="B154" s="4"/>
    </row>
    <row r="155" spans="1:2" ht="15.75" customHeight="1">
      <c r="A155" s="6"/>
      <c r="B155" s="4"/>
    </row>
    <row r="156" spans="1:2" ht="15.75" customHeight="1">
      <c r="A156" s="6"/>
      <c r="B156" s="4"/>
    </row>
    <row r="157" spans="1:2" ht="15.75" customHeight="1">
      <c r="A157" s="6"/>
      <c r="B157" s="4"/>
    </row>
    <row r="158" spans="1:2" ht="15.75" customHeight="1">
      <c r="A158" s="6"/>
      <c r="B158" s="4"/>
    </row>
    <row r="159" spans="1:2" ht="15.75" customHeight="1">
      <c r="A159" s="6"/>
      <c r="B159" s="4"/>
    </row>
    <row r="160" spans="1:2" ht="15.75" customHeight="1">
      <c r="A160" s="6"/>
      <c r="B160" s="4"/>
    </row>
    <row r="161" spans="1:2" ht="15.75" customHeight="1">
      <c r="A161" s="6"/>
      <c r="B161" s="4"/>
    </row>
    <row r="162" spans="1:2" ht="15.75" customHeight="1">
      <c r="A162" s="6"/>
      <c r="B162" s="4"/>
    </row>
    <row r="163" spans="1:2" ht="15.75" customHeight="1">
      <c r="A163" s="6"/>
      <c r="B163" s="4"/>
    </row>
    <row r="164" spans="1:2" ht="15.75" customHeight="1">
      <c r="A164" s="6"/>
      <c r="B164" s="4"/>
    </row>
    <row r="165" spans="1:2" ht="15.75" customHeight="1">
      <c r="A165" s="6"/>
      <c r="B165" s="4"/>
    </row>
    <row r="166" spans="1:2" ht="15.75" customHeight="1">
      <c r="A166" s="6"/>
      <c r="B166" s="4"/>
    </row>
    <row r="167" spans="1:2" ht="15.75" customHeight="1">
      <c r="A167" s="6"/>
      <c r="B167" s="4"/>
    </row>
    <row r="168" spans="1:2" ht="15.75" customHeight="1">
      <c r="A168" s="6"/>
      <c r="B168" s="4"/>
    </row>
    <row r="169" spans="1:2" ht="15.75" customHeight="1">
      <c r="A169" s="6"/>
      <c r="B169" s="4"/>
    </row>
    <row r="170" spans="1:2" ht="15.75" customHeight="1">
      <c r="A170" s="6"/>
      <c r="B170" s="4"/>
    </row>
    <row r="171" spans="1:2" ht="15.75" customHeight="1">
      <c r="A171" s="6"/>
      <c r="B171" s="4"/>
    </row>
    <row r="172" spans="1:2" ht="15.75" customHeight="1">
      <c r="A172" s="6"/>
      <c r="B172" s="4"/>
    </row>
    <row r="173" spans="1:2" ht="15.75" customHeight="1">
      <c r="A173" s="6"/>
      <c r="B173" s="4"/>
    </row>
    <row r="174" spans="1:2" ht="15.75" customHeight="1">
      <c r="A174" s="6"/>
      <c r="B174" s="4"/>
    </row>
    <row r="175" spans="1:2" ht="15.75" customHeight="1">
      <c r="A175" s="6"/>
      <c r="B175" s="4"/>
    </row>
    <row r="176" spans="1:2" ht="15.75" customHeight="1">
      <c r="A176" s="6"/>
      <c r="B176" s="4"/>
    </row>
    <row r="177" spans="1:2" ht="15.75" customHeight="1">
      <c r="A177" s="6"/>
      <c r="B177" s="4"/>
    </row>
    <row r="178" spans="1:2" ht="15.75" customHeight="1">
      <c r="A178" s="6"/>
      <c r="B178" s="4"/>
    </row>
    <row r="179" spans="1:2" ht="15.75" customHeight="1">
      <c r="A179" s="6"/>
      <c r="B179" s="4"/>
    </row>
    <row r="180" spans="1:2" ht="15.75" customHeight="1">
      <c r="A180" s="6"/>
      <c r="B180" s="4"/>
    </row>
    <row r="181" spans="1:2" ht="15.75" customHeight="1">
      <c r="A181" s="6"/>
      <c r="B181" s="4"/>
    </row>
    <row r="182" spans="1:2" ht="15.75" customHeight="1">
      <c r="A182" s="6"/>
      <c r="B182" s="4"/>
    </row>
    <row r="183" spans="1:2" ht="15.75" customHeight="1">
      <c r="A183" s="6"/>
      <c r="B183" s="4"/>
    </row>
    <row r="184" spans="1:2" ht="15.75" customHeight="1">
      <c r="A184" s="6"/>
      <c r="B184" s="4"/>
    </row>
    <row r="185" spans="1:2" ht="15.75" customHeight="1">
      <c r="A185" s="6"/>
      <c r="B185" s="4"/>
    </row>
    <row r="186" spans="1:2" ht="15.75" customHeight="1">
      <c r="A186" s="6"/>
      <c r="B186" s="4"/>
    </row>
    <row r="187" spans="1:2" ht="15.75" customHeight="1">
      <c r="A187" s="6"/>
      <c r="B187" s="4"/>
    </row>
    <row r="188" spans="1:2" ht="15.75" customHeight="1">
      <c r="A188" s="6"/>
      <c r="B188" s="4"/>
    </row>
    <row r="189" spans="1:2" ht="15.75" customHeight="1">
      <c r="A189" s="6"/>
      <c r="B189" s="4"/>
    </row>
    <row r="190" spans="1:2" ht="15.75" customHeight="1">
      <c r="A190" s="6"/>
      <c r="B190" s="4"/>
    </row>
    <row r="191" spans="1:2" ht="15.75" customHeight="1">
      <c r="A191" s="6"/>
      <c r="B191" s="4"/>
    </row>
    <row r="192" spans="1:2" ht="15.75" customHeight="1">
      <c r="A192" s="6"/>
      <c r="B192" s="4"/>
    </row>
    <row r="193" spans="1:2" ht="15.75" customHeight="1">
      <c r="A193" s="6"/>
      <c r="B193" s="4"/>
    </row>
    <row r="194" spans="1:2" ht="15.75" customHeight="1">
      <c r="A194" s="6"/>
      <c r="B194" s="4"/>
    </row>
    <row r="195" spans="1:2" ht="15.75" customHeight="1">
      <c r="A195" s="6"/>
      <c r="B195" s="4"/>
    </row>
    <row r="196" spans="1:2" ht="15.75" customHeight="1">
      <c r="A196" s="6"/>
      <c r="B196" s="4"/>
    </row>
    <row r="197" spans="1:2" ht="15.75" customHeight="1">
      <c r="A197" s="6"/>
      <c r="B197" s="4"/>
    </row>
    <row r="198" spans="1:2" ht="15.75" customHeight="1">
      <c r="A198" s="6"/>
      <c r="B198" s="4"/>
    </row>
    <row r="199" spans="1:2" ht="15.75" customHeight="1">
      <c r="A199" s="6"/>
      <c r="B199" s="4"/>
    </row>
    <row r="200" spans="1:2" ht="15.75" customHeight="1">
      <c r="A200" s="6"/>
      <c r="B200" s="4"/>
    </row>
    <row r="201" spans="1:2" ht="15.75" customHeight="1">
      <c r="A201" s="6"/>
      <c r="B201" s="4"/>
    </row>
    <row r="202" spans="1:2" ht="15.75" customHeight="1">
      <c r="A202" s="6"/>
      <c r="B202" s="4"/>
    </row>
    <row r="203" spans="1:2" ht="15.75" customHeight="1">
      <c r="A203" s="6"/>
      <c r="B203" s="4"/>
    </row>
    <row r="204" spans="1:2" ht="15.75" customHeight="1">
      <c r="A204" s="6"/>
      <c r="B204" s="4"/>
    </row>
    <row r="205" spans="1:2" ht="15.75" customHeight="1">
      <c r="A205" s="6"/>
      <c r="B205" s="4"/>
    </row>
    <row r="206" spans="1:2" ht="15.75" customHeight="1">
      <c r="A206" s="6"/>
      <c r="B206" s="4"/>
    </row>
    <row r="207" spans="1:2" ht="15.75" customHeight="1">
      <c r="A207" s="6"/>
      <c r="B207" s="4"/>
    </row>
    <row r="208" spans="1:2" ht="15.75" customHeight="1">
      <c r="A208" s="6"/>
      <c r="B208" s="4"/>
    </row>
    <row r="209" spans="1:2" ht="15.75" customHeight="1">
      <c r="A209" s="6"/>
      <c r="B209" s="4"/>
    </row>
    <row r="210" spans="1:2" ht="15.75" customHeight="1">
      <c r="A210" s="6"/>
      <c r="B210" s="4"/>
    </row>
    <row r="211" spans="1:2" ht="15.75" customHeight="1">
      <c r="A211" s="6"/>
      <c r="B211" s="4"/>
    </row>
    <row r="212" spans="1:2" ht="15.75" customHeight="1">
      <c r="A212" s="6"/>
      <c r="B212" s="4"/>
    </row>
    <row r="213" spans="1:2" ht="15.75" customHeight="1">
      <c r="A213" s="6"/>
      <c r="B213" s="4"/>
    </row>
    <row r="214" spans="1:2" ht="15.75" customHeight="1">
      <c r="A214" s="6"/>
      <c r="B214" s="4"/>
    </row>
    <row r="215" spans="1:2" ht="15.75" customHeight="1">
      <c r="A215" s="6"/>
      <c r="B215" s="4"/>
    </row>
    <row r="216" spans="1:2" ht="15.75" customHeight="1">
      <c r="A216" s="6"/>
      <c r="B216" s="4"/>
    </row>
    <row r="217" spans="1:2" ht="15.75" customHeight="1">
      <c r="A217" s="6"/>
      <c r="B217" s="4"/>
    </row>
    <row r="218" spans="1:2" ht="15.75" customHeight="1">
      <c r="A218" s="6"/>
      <c r="B218" s="4"/>
    </row>
    <row r="219" spans="1:2" ht="15.75" customHeight="1">
      <c r="A219" s="6"/>
      <c r="B219" s="4"/>
    </row>
    <row r="220" spans="1:2" ht="15.75" customHeight="1">
      <c r="A220" s="6"/>
      <c r="B220" s="4"/>
    </row>
    <row r="221" spans="1:2" ht="15.75" customHeight="1">
      <c r="A221" s="6"/>
      <c r="B221" s="4"/>
    </row>
    <row r="222" spans="1:2" ht="15.75" customHeight="1">
      <c r="A222" s="6"/>
      <c r="B222" s="4"/>
    </row>
    <row r="223" spans="1:2" ht="15.75" customHeight="1">
      <c r="A223" s="6"/>
      <c r="B223" s="4"/>
    </row>
    <row r="224" spans="1:2" ht="15.75" customHeight="1">
      <c r="A224" s="6"/>
      <c r="B224" s="4"/>
    </row>
    <row r="225" spans="1:2" ht="15.75" customHeight="1">
      <c r="A225" s="6"/>
      <c r="B225" s="4"/>
    </row>
    <row r="226" spans="1:2" ht="15.75" customHeight="1">
      <c r="A226" s="6"/>
      <c r="B226" s="4"/>
    </row>
    <row r="227" spans="1:2" ht="15.75" customHeight="1">
      <c r="A227" s="6"/>
      <c r="B227" s="4"/>
    </row>
    <row r="228" spans="1:2" ht="15.75" customHeight="1">
      <c r="A228" s="6"/>
      <c r="B228" s="4"/>
    </row>
    <row r="229" spans="1:2" ht="15.75" customHeight="1">
      <c r="A229" s="6"/>
      <c r="B229" s="4"/>
    </row>
    <row r="230" spans="1:2" ht="15.75" customHeight="1">
      <c r="A230" s="6"/>
      <c r="B230" s="4"/>
    </row>
    <row r="231" spans="1:2" ht="15.75" customHeight="1">
      <c r="A231" s="6"/>
      <c r="B231" s="4"/>
    </row>
    <row r="232" spans="1:2" ht="15.75" customHeight="1">
      <c r="A232" s="6"/>
      <c r="B232" s="4"/>
    </row>
    <row r="233" spans="1:2" ht="15.75" customHeight="1">
      <c r="A233" s="6"/>
      <c r="B233" s="4"/>
    </row>
    <row r="234" spans="1:2" ht="15.75" customHeight="1">
      <c r="A234" s="6"/>
      <c r="B234" s="4"/>
    </row>
    <row r="235" spans="1:2" ht="15.75" customHeight="1">
      <c r="A235" s="6"/>
      <c r="B235" s="4"/>
    </row>
    <row r="236" spans="1:2" ht="15.75" customHeight="1">
      <c r="A236" s="6"/>
      <c r="B236" s="4"/>
    </row>
    <row r="237" spans="1:2" ht="15.75" customHeight="1">
      <c r="A237" s="6"/>
      <c r="B237" s="4"/>
    </row>
    <row r="238" spans="1:2" ht="15.75" customHeight="1">
      <c r="A238" s="6"/>
      <c r="B238" s="4"/>
    </row>
    <row r="239" spans="1:2" ht="15.75" customHeight="1">
      <c r="A239" s="6"/>
      <c r="B239" s="4"/>
    </row>
    <row r="240" spans="1:2" ht="15.75" customHeight="1">
      <c r="A240" s="6"/>
      <c r="B240" s="4"/>
    </row>
    <row r="241" spans="1:2" ht="15.75" customHeight="1">
      <c r="A241" s="6"/>
      <c r="B241" s="4"/>
    </row>
    <row r="242" spans="1:2" ht="15.75" customHeight="1">
      <c r="A242" s="6"/>
      <c r="B242" s="4"/>
    </row>
    <row r="243" spans="1:2" ht="15.75" customHeight="1">
      <c r="A243" s="6"/>
      <c r="B243" s="4"/>
    </row>
    <row r="244" spans="1:2" ht="15.75" customHeight="1">
      <c r="A244" s="6"/>
      <c r="B244" s="4"/>
    </row>
    <row r="245" spans="1:2" ht="15.75" customHeight="1">
      <c r="A245" s="6"/>
      <c r="B245" s="4"/>
    </row>
    <row r="246" spans="1:2" ht="15.75" customHeight="1">
      <c r="A246" s="6"/>
      <c r="B246" s="4"/>
    </row>
    <row r="247" spans="1:2" ht="15.75" customHeight="1">
      <c r="A247" s="6"/>
      <c r="B247" s="4"/>
    </row>
    <row r="248" spans="1:2" ht="15.75" customHeight="1">
      <c r="A248" s="6"/>
      <c r="B248" s="4"/>
    </row>
    <row r="249" spans="1:2" ht="15.75" customHeight="1">
      <c r="A249" s="6"/>
      <c r="B249" s="4"/>
    </row>
    <row r="250" spans="1:2" ht="15.75" customHeight="1">
      <c r="A250" s="6"/>
      <c r="B250" s="4"/>
    </row>
    <row r="251" spans="1:2" ht="15.75" customHeight="1">
      <c r="A251" s="6"/>
      <c r="B251" s="4"/>
    </row>
    <row r="252" spans="1:2" ht="15.75" customHeight="1">
      <c r="A252" s="6"/>
      <c r="B252" s="4"/>
    </row>
    <row r="253" spans="1:2" ht="15.75" customHeight="1">
      <c r="A253" s="6"/>
      <c r="B253" s="4"/>
    </row>
    <row r="254" spans="1:2" ht="15.75" customHeight="1">
      <c r="A254" s="6"/>
      <c r="B254" s="4"/>
    </row>
    <row r="255" spans="1:2" ht="15.75" customHeight="1">
      <c r="A255" s="6"/>
      <c r="B255" s="4"/>
    </row>
    <row r="256" spans="1:2" ht="15.75" customHeight="1">
      <c r="A256" s="6"/>
      <c r="B256" s="4"/>
    </row>
    <row r="257" spans="1:2" ht="15.75" customHeight="1">
      <c r="A257" s="6"/>
      <c r="B257" s="4"/>
    </row>
    <row r="258" spans="1:2" ht="15.75" customHeight="1">
      <c r="A258" s="6"/>
      <c r="B258" s="4"/>
    </row>
    <row r="259" spans="1:2" ht="15.75" customHeight="1">
      <c r="A259" s="6"/>
      <c r="B259" s="4"/>
    </row>
    <row r="260" spans="1:2" ht="15.75" customHeight="1">
      <c r="A260" s="6"/>
      <c r="B260" s="4"/>
    </row>
    <row r="261" spans="1:2" ht="15.75" customHeight="1">
      <c r="A261" s="6"/>
      <c r="B261" s="4"/>
    </row>
    <row r="262" spans="1:2" ht="15.75" customHeight="1">
      <c r="A262" s="6"/>
      <c r="B262" s="4"/>
    </row>
    <row r="263" spans="1:2" ht="15.75" customHeight="1">
      <c r="A263" s="6"/>
      <c r="B263" s="4"/>
    </row>
    <row r="264" spans="1:2" ht="15.75" customHeight="1">
      <c r="A264" s="6"/>
      <c r="B264" s="4"/>
    </row>
    <row r="265" spans="1:2" ht="15.75" customHeight="1">
      <c r="A265" s="6"/>
      <c r="B265" s="4"/>
    </row>
    <row r="266" spans="1:2" ht="15.75" customHeight="1">
      <c r="A266" s="6"/>
      <c r="B266" s="4"/>
    </row>
    <row r="267" spans="1:2" ht="15.75" customHeight="1">
      <c r="A267" s="6"/>
      <c r="B267" s="4"/>
    </row>
    <row r="268" spans="1:2" ht="15.75" customHeight="1">
      <c r="A268" s="6"/>
      <c r="B268" s="4"/>
    </row>
    <row r="269" spans="1:2" ht="15.75" customHeight="1">
      <c r="A269" s="6"/>
      <c r="B269" s="4"/>
    </row>
    <row r="270" spans="1:2" ht="15.75" customHeight="1">
      <c r="A270" s="6"/>
      <c r="B270" s="4"/>
    </row>
    <row r="271" spans="1:2" ht="15.75" customHeight="1">
      <c r="A271" s="6"/>
      <c r="B271" s="4"/>
    </row>
    <row r="272" spans="1:2" ht="15.75" customHeight="1">
      <c r="A272" s="6"/>
      <c r="B272" s="4"/>
    </row>
    <row r="273" spans="1:2" ht="15.75" customHeight="1">
      <c r="A273" s="6"/>
      <c r="B273" s="4"/>
    </row>
    <row r="274" spans="1:2" ht="15.75" customHeight="1">
      <c r="A274" s="6"/>
      <c r="B274" s="4"/>
    </row>
    <row r="275" spans="1:2" ht="15.75" customHeight="1">
      <c r="A275" s="6"/>
      <c r="B275" s="4"/>
    </row>
    <row r="276" spans="1:2" ht="15.75" customHeight="1">
      <c r="A276" s="6"/>
      <c r="B276" s="4"/>
    </row>
    <row r="277" spans="1:2" ht="15.75" customHeight="1">
      <c r="A277" s="6"/>
      <c r="B277" s="4"/>
    </row>
    <row r="278" spans="1:2" ht="15.75" customHeight="1">
      <c r="A278" s="6"/>
      <c r="B278" s="4"/>
    </row>
    <row r="279" spans="1:2" ht="15.75" customHeight="1">
      <c r="A279" s="6"/>
      <c r="B279" s="4"/>
    </row>
    <row r="280" spans="1:2" ht="15.75" customHeight="1">
      <c r="A280" s="6"/>
      <c r="B280" s="4"/>
    </row>
    <row r="281" spans="1:2" ht="15.75" customHeight="1">
      <c r="A281" s="6"/>
      <c r="B281" s="4"/>
    </row>
    <row r="282" spans="1:2" ht="15.75" customHeight="1">
      <c r="A282" s="6"/>
      <c r="B282" s="4"/>
    </row>
    <row r="283" spans="1:2" ht="15.75" customHeight="1">
      <c r="A283" s="6"/>
      <c r="B283" s="4"/>
    </row>
    <row r="284" spans="1:2" ht="15.75" customHeight="1">
      <c r="A284" s="6"/>
      <c r="B284" s="4"/>
    </row>
    <row r="285" spans="1:2" ht="15.75" customHeight="1">
      <c r="A285" s="6"/>
      <c r="B285" s="4"/>
    </row>
    <row r="286" spans="1:2" ht="15.75" customHeight="1">
      <c r="A286" s="6"/>
      <c r="B286" s="4"/>
    </row>
    <row r="287" spans="1:2" ht="15.75" customHeight="1">
      <c r="A287" s="6"/>
      <c r="B287" s="4"/>
    </row>
    <row r="288" spans="1:2" ht="15.75" customHeight="1">
      <c r="A288" s="6"/>
      <c r="B288" s="4"/>
    </row>
    <row r="289" spans="1:2" ht="15.75" customHeight="1">
      <c r="A289" s="6"/>
      <c r="B289" s="4"/>
    </row>
    <row r="290" spans="1:2" ht="15.75" customHeight="1">
      <c r="A290" s="6"/>
      <c r="B290" s="4"/>
    </row>
    <row r="291" spans="1:2" ht="15.75" customHeight="1">
      <c r="A291" s="6"/>
      <c r="B291" s="4"/>
    </row>
    <row r="292" spans="1:2" ht="15.75" customHeight="1">
      <c r="A292" s="6"/>
      <c r="B292" s="4"/>
    </row>
    <row r="293" spans="1:2" ht="15.75" customHeight="1">
      <c r="A293" s="6"/>
      <c r="B293" s="4"/>
    </row>
    <row r="294" spans="1:2" ht="15.75" customHeight="1">
      <c r="A294" s="6"/>
      <c r="B294" s="4"/>
    </row>
    <row r="295" spans="1:2" ht="15.75" customHeight="1">
      <c r="A295" s="6"/>
      <c r="B295" s="4"/>
    </row>
    <row r="296" spans="1:2" ht="15.75" customHeight="1">
      <c r="A296" s="6"/>
      <c r="B296" s="4"/>
    </row>
    <row r="297" spans="1:2" ht="15.75" customHeight="1">
      <c r="A297" s="6"/>
      <c r="B297" s="4"/>
    </row>
    <row r="298" spans="1:2" ht="15.75" customHeight="1">
      <c r="A298" s="6"/>
      <c r="B298" s="4"/>
    </row>
    <row r="299" spans="1:2" ht="15.75" customHeight="1">
      <c r="A299" s="6"/>
      <c r="B299" s="4"/>
    </row>
    <row r="300" spans="1:2" ht="15.75" customHeight="1">
      <c r="A300" s="6"/>
      <c r="B300" s="4"/>
    </row>
    <row r="301" spans="1:2" ht="15.75" customHeight="1">
      <c r="A301" s="6"/>
      <c r="B301" s="4"/>
    </row>
    <row r="302" spans="1:2" ht="15.75" customHeight="1">
      <c r="A302" s="6"/>
      <c r="B302" s="4"/>
    </row>
    <row r="303" spans="1:2" ht="15.75" customHeight="1">
      <c r="A303" s="6"/>
      <c r="B303" s="4"/>
    </row>
    <row r="304" spans="1:2" ht="15.75" customHeight="1">
      <c r="A304" s="6"/>
      <c r="B304" s="4"/>
    </row>
    <row r="305" spans="1:2" ht="15.75" customHeight="1">
      <c r="A305" s="6"/>
      <c r="B305" s="4"/>
    </row>
    <row r="306" spans="1:2" ht="15.75" customHeight="1">
      <c r="A306" s="6"/>
      <c r="B306" s="4"/>
    </row>
    <row r="307" spans="1:2" ht="15.75" customHeight="1">
      <c r="A307" s="6"/>
      <c r="B307" s="4"/>
    </row>
    <row r="308" spans="1:2" ht="15.75" customHeight="1">
      <c r="A308" s="6"/>
      <c r="B308" s="4"/>
    </row>
    <row r="309" spans="1:2" ht="15.75" customHeight="1">
      <c r="A309" s="6"/>
      <c r="B309" s="4"/>
    </row>
    <row r="310" spans="1:2" ht="15.75" customHeight="1">
      <c r="A310" s="6"/>
      <c r="B310" s="4"/>
    </row>
    <row r="311" spans="1:2" ht="15.75" customHeight="1">
      <c r="A311" s="6"/>
      <c r="B311" s="4"/>
    </row>
    <row r="312" spans="1:2" ht="15.75" customHeight="1">
      <c r="A312" s="6"/>
      <c r="B312" s="4"/>
    </row>
    <row r="313" spans="1:2" ht="15.75" customHeight="1">
      <c r="A313" s="6"/>
      <c r="B313" s="4"/>
    </row>
    <row r="314" spans="1:2" ht="15.75" customHeight="1">
      <c r="A314" s="6"/>
      <c r="B314" s="4"/>
    </row>
    <row r="315" spans="1:2" ht="15.75" customHeight="1">
      <c r="A315" s="6"/>
      <c r="B315" s="4"/>
    </row>
    <row r="316" spans="1:2" ht="15.75" customHeight="1">
      <c r="A316" s="6"/>
      <c r="B316" s="4"/>
    </row>
    <row r="317" spans="1:2" ht="15.75" customHeight="1">
      <c r="A317" s="6"/>
      <c r="B317" s="4"/>
    </row>
    <row r="318" spans="1:2" ht="15.75" customHeight="1">
      <c r="A318" s="6"/>
      <c r="B318" s="4"/>
    </row>
    <row r="319" spans="1:2" ht="15.75" customHeight="1">
      <c r="A319" s="6"/>
      <c r="B319" s="4"/>
    </row>
    <row r="320" spans="1:2" ht="15.75" customHeight="1">
      <c r="A320" s="6"/>
      <c r="B320" s="4"/>
    </row>
    <row r="321" spans="1:2" ht="15.75" customHeight="1">
      <c r="A321" s="6"/>
      <c r="B321" s="4"/>
    </row>
    <row r="322" spans="1:2" ht="15.75" customHeight="1">
      <c r="A322" s="6"/>
      <c r="B322" s="4"/>
    </row>
    <row r="323" spans="1:2" ht="15.75" customHeight="1">
      <c r="A323" s="6"/>
      <c r="B323" s="4"/>
    </row>
    <row r="324" spans="1:2" ht="15.75" customHeight="1">
      <c r="A324" s="6"/>
      <c r="B324" s="4"/>
    </row>
    <row r="325" spans="1:2" ht="15.75" customHeight="1">
      <c r="A325" s="6"/>
      <c r="B325" s="4"/>
    </row>
    <row r="326" spans="1:2" ht="15.75" customHeight="1">
      <c r="A326" s="6"/>
      <c r="B326" s="4"/>
    </row>
    <row r="327" spans="1:2" ht="15.75" customHeight="1">
      <c r="A327" s="6"/>
      <c r="B327" s="4"/>
    </row>
    <row r="328" spans="1:2" ht="15.75" customHeight="1">
      <c r="A328" s="6"/>
      <c r="B328" s="4"/>
    </row>
    <row r="329" spans="1:2" ht="15.75" customHeight="1">
      <c r="A329" s="6"/>
      <c r="B329" s="4"/>
    </row>
    <row r="330" spans="1:2" ht="15.75" customHeight="1">
      <c r="A330" s="6"/>
      <c r="B330" s="4"/>
    </row>
    <row r="331" spans="1:2" ht="15.75" customHeight="1">
      <c r="A331" s="6"/>
      <c r="B331" s="4"/>
    </row>
    <row r="332" spans="1:2" ht="15.75" customHeight="1">
      <c r="A332" s="6"/>
      <c r="B332" s="4"/>
    </row>
    <row r="333" spans="1:2" ht="15.75" customHeight="1">
      <c r="A333" s="6"/>
      <c r="B333" s="4"/>
    </row>
    <row r="334" spans="1:2" ht="15.75" customHeight="1">
      <c r="A334" s="6"/>
      <c r="B334" s="4"/>
    </row>
    <row r="335" spans="1:2" ht="15.75" customHeight="1">
      <c r="A335" s="6"/>
      <c r="B335" s="4"/>
    </row>
    <row r="336" spans="1:2" ht="15.75" customHeight="1">
      <c r="A336" s="6"/>
      <c r="B336" s="4"/>
    </row>
    <row r="337" spans="1:2" ht="15.75" customHeight="1">
      <c r="A337" s="6"/>
      <c r="B337" s="4"/>
    </row>
    <row r="338" spans="1:2" ht="15.75" customHeight="1">
      <c r="A338" s="6"/>
      <c r="B338" s="4"/>
    </row>
    <row r="339" spans="1:2" ht="15.75" customHeight="1">
      <c r="A339" s="6"/>
      <c r="B339" s="4"/>
    </row>
    <row r="340" spans="1:2" ht="15.75" customHeight="1">
      <c r="A340" s="6"/>
      <c r="B340" s="4"/>
    </row>
    <row r="341" spans="1:2" ht="15.75" customHeight="1">
      <c r="A341" s="6"/>
      <c r="B341" s="4"/>
    </row>
    <row r="342" spans="1:2" ht="15.75" customHeight="1">
      <c r="A342" s="6"/>
      <c r="B342" s="4"/>
    </row>
    <row r="343" spans="1:2" ht="15.75" customHeight="1">
      <c r="A343" s="6"/>
      <c r="B343" s="4"/>
    </row>
    <row r="344" spans="1:2" ht="15.75" customHeight="1">
      <c r="A344" s="6"/>
      <c r="B344" s="4"/>
    </row>
    <row r="345" spans="1:2" ht="15.75" customHeight="1">
      <c r="A345" s="6"/>
      <c r="B345" s="4"/>
    </row>
    <row r="346" spans="1:2" ht="15.75" customHeight="1">
      <c r="A346" s="6"/>
      <c r="B346" s="4"/>
    </row>
    <row r="347" spans="1:2" ht="15.75" customHeight="1">
      <c r="A347" s="6"/>
      <c r="B347" s="4"/>
    </row>
    <row r="348" spans="1:2" ht="15.75" customHeight="1">
      <c r="A348" s="6"/>
      <c r="B348" s="4"/>
    </row>
    <row r="349" spans="1:2" ht="15.75" customHeight="1">
      <c r="A349" s="6"/>
      <c r="B349" s="4"/>
    </row>
    <row r="350" spans="1:2" ht="15.75" customHeight="1">
      <c r="A350" s="6"/>
      <c r="B350" s="4"/>
    </row>
    <row r="351" spans="1:2" ht="15.75" customHeight="1">
      <c r="A351" s="6"/>
      <c r="B351" s="4"/>
    </row>
    <row r="352" spans="1:2" ht="15.75" customHeight="1">
      <c r="A352" s="6"/>
      <c r="B352" s="4"/>
    </row>
    <row r="353" spans="1:2" ht="15.75" customHeight="1">
      <c r="A353" s="6"/>
      <c r="B353" s="4"/>
    </row>
    <row r="354" spans="1:2" ht="15.75" customHeight="1">
      <c r="A354" s="6"/>
      <c r="B354" s="4"/>
    </row>
    <row r="355" spans="1:2" ht="15.75" customHeight="1">
      <c r="A355" s="6"/>
      <c r="B355" s="4"/>
    </row>
    <row r="356" spans="1:2" ht="15.75" customHeight="1">
      <c r="A356" s="6"/>
      <c r="B356" s="4"/>
    </row>
    <row r="357" spans="1:2" ht="15.75" customHeight="1">
      <c r="A357" s="6"/>
      <c r="B357" s="4"/>
    </row>
    <row r="358" spans="1:2" ht="15.75" customHeight="1">
      <c r="A358" s="6"/>
      <c r="B358" s="4"/>
    </row>
    <row r="359" spans="1:2" ht="15.75" customHeight="1">
      <c r="A359" s="6"/>
      <c r="B359" s="4"/>
    </row>
    <row r="360" spans="1:2" ht="15.75" customHeight="1">
      <c r="A360" s="6"/>
      <c r="B360" s="4"/>
    </row>
    <row r="361" spans="1:2" ht="15.75" customHeight="1">
      <c r="A361" s="6"/>
      <c r="B361" s="4"/>
    </row>
    <row r="362" spans="1:2" ht="15.75" customHeight="1">
      <c r="A362" s="6"/>
      <c r="B362" s="4"/>
    </row>
    <row r="363" spans="1:2" ht="15.75" customHeight="1">
      <c r="A363" s="6"/>
      <c r="B363" s="4"/>
    </row>
    <row r="364" spans="1:2" ht="15.75" customHeight="1">
      <c r="A364" s="6"/>
      <c r="B364" s="4"/>
    </row>
    <row r="365" spans="1:2" ht="15.75" customHeight="1">
      <c r="A365" s="6"/>
      <c r="B365" s="4"/>
    </row>
    <row r="366" spans="1:2" ht="15.75" customHeight="1">
      <c r="A366" s="6"/>
      <c r="B366" s="4"/>
    </row>
    <row r="367" spans="1:2" ht="15.75" customHeight="1">
      <c r="A367" s="6"/>
      <c r="B367" s="4"/>
    </row>
    <row r="368" spans="1:2" ht="15.75" customHeight="1">
      <c r="A368" s="6"/>
      <c r="B368" s="4"/>
    </row>
    <row r="369" spans="1:2" ht="15.75" customHeight="1">
      <c r="A369" s="6"/>
      <c r="B369" s="4"/>
    </row>
    <row r="370" spans="1:2" ht="15.75" customHeight="1">
      <c r="A370" s="6"/>
      <c r="B370" s="4"/>
    </row>
    <row r="371" spans="1:2" ht="15.75" customHeight="1">
      <c r="A371" s="6"/>
      <c r="B371" s="4"/>
    </row>
    <row r="372" spans="1:2" ht="15.75" customHeight="1">
      <c r="A372" s="6"/>
      <c r="B372" s="4"/>
    </row>
    <row r="373" spans="1:2" ht="15.75" customHeight="1">
      <c r="A373" s="6"/>
      <c r="B373" s="4"/>
    </row>
    <row r="374" spans="1:2" ht="15.75" customHeight="1">
      <c r="A374" s="6"/>
      <c r="B374" s="4"/>
    </row>
    <row r="375" spans="1:2" ht="15.75" customHeight="1">
      <c r="A375" s="6"/>
      <c r="B375" s="4"/>
    </row>
    <row r="376" spans="1:2" ht="15.75" customHeight="1">
      <c r="A376" s="6"/>
      <c r="B376" s="4"/>
    </row>
    <row r="377" spans="1:2" ht="15.75" customHeight="1">
      <c r="A377" s="6"/>
      <c r="B377" s="4"/>
    </row>
    <row r="378" spans="1:2" ht="15.75" customHeight="1">
      <c r="A378" s="6"/>
      <c r="B378" s="4"/>
    </row>
    <row r="379" spans="1:2" ht="15.75" customHeight="1">
      <c r="A379" s="6"/>
      <c r="B379" s="4"/>
    </row>
    <row r="380" spans="1:2" ht="15.75" customHeight="1">
      <c r="A380" s="6"/>
      <c r="B380" s="4"/>
    </row>
    <row r="381" spans="1:2" ht="15.75" customHeight="1">
      <c r="A381" s="6"/>
      <c r="B381" s="4"/>
    </row>
    <row r="382" spans="1:2" ht="15.75" customHeight="1">
      <c r="A382" s="6"/>
      <c r="B382" s="4"/>
    </row>
    <row r="383" spans="1:2" ht="15.75" customHeight="1">
      <c r="A383" s="6"/>
      <c r="B383" s="4"/>
    </row>
    <row r="384" spans="1:2" ht="15.75" customHeight="1">
      <c r="A384" s="6"/>
      <c r="B384" s="4"/>
    </row>
    <row r="385" spans="1:2" ht="15.75" customHeight="1">
      <c r="A385" s="6"/>
      <c r="B385" s="4"/>
    </row>
    <row r="386" spans="1:2" ht="15.75" customHeight="1">
      <c r="A386" s="6"/>
      <c r="B386" s="4"/>
    </row>
    <row r="387" spans="1:2" ht="15.75" customHeight="1">
      <c r="A387" s="6"/>
      <c r="B387" s="4"/>
    </row>
    <row r="388" spans="1:2" ht="15.75" customHeight="1">
      <c r="A388" s="6"/>
      <c r="B388" s="4"/>
    </row>
    <row r="389" spans="1:2" ht="15.75" customHeight="1">
      <c r="A389" s="6"/>
      <c r="B389" s="4"/>
    </row>
    <row r="390" spans="1:2" ht="15.75" customHeight="1">
      <c r="A390" s="6"/>
      <c r="B390" s="4"/>
    </row>
    <row r="391" spans="1:2" ht="15.75" customHeight="1">
      <c r="A391" s="6"/>
      <c r="B391" s="4"/>
    </row>
    <row r="392" spans="1:2" ht="15.75" customHeight="1">
      <c r="A392" s="6"/>
      <c r="B392" s="4"/>
    </row>
    <row r="393" spans="1:2" ht="15.75" customHeight="1">
      <c r="A393" s="6"/>
      <c r="B393" s="4"/>
    </row>
    <row r="394" spans="1:2" ht="15.75" customHeight="1">
      <c r="A394" s="6"/>
      <c r="B394" s="4"/>
    </row>
    <row r="395" spans="1:2" ht="15.75" customHeight="1">
      <c r="A395" s="6"/>
      <c r="B395" s="4"/>
    </row>
    <row r="396" spans="1:2" ht="15.75" customHeight="1">
      <c r="A396" s="6"/>
      <c r="B396" s="4"/>
    </row>
    <row r="397" spans="1:2" ht="15.75" customHeight="1">
      <c r="A397" s="6"/>
      <c r="B397" s="4"/>
    </row>
    <row r="398" spans="1:2" ht="15.75" customHeight="1">
      <c r="A398" s="6"/>
      <c r="B398" s="4"/>
    </row>
    <row r="399" spans="1:2" ht="15.75" customHeight="1">
      <c r="A399" s="6"/>
      <c r="B399" s="4"/>
    </row>
    <row r="400" spans="1:2" ht="15.75" customHeight="1">
      <c r="A400" s="6"/>
      <c r="B400" s="4"/>
    </row>
    <row r="401" spans="1:2" ht="15.75" customHeight="1">
      <c r="A401" s="6"/>
      <c r="B401" s="4"/>
    </row>
    <row r="402" spans="1:2" ht="15.75" customHeight="1">
      <c r="A402" s="6"/>
      <c r="B402" s="4"/>
    </row>
    <row r="403" spans="1:2" ht="15.75" customHeight="1">
      <c r="A403" s="6"/>
      <c r="B403" s="4"/>
    </row>
    <row r="404" spans="1:2" ht="15.75" customHeight="1">
      <c r="A404" s="6"/>
      <c r="B404" s="4"/>
    </row>
    <row r="405" spans="1:2" ht="15.75" customHeight="1">
      <c r="A405" s="6"/>
      <c r="B405" s="4"/>
    </row>
    <row r="406" spans="1:2" ht="15.75" customHeight="1">
      <c r="A406" s="6"/>
      <c r="B406" s="4"/>
    </row>
    <row r="407" spans="1:2" ht="15.75" customHeight="1">
      <c r="A407" s="6"/>
      <c r="B407" s="4"/>
    </row>
    <row r="408" spans="1:2" ht="15.75" customHeight="1">
      <c r="A408" s="6"/>
      <c r="B408" s="4"/>
    </row>
    <row r="409" spans="1:2" ht="15.75" customHeight="1">
      <c r="A409" s="6"/>
      <c r="B409" s="4"/>
    </row>
    <row r="410" spans="1:2" ht="15.75" customHeight="1">
      <c r="A410" s="6"/>
      <c r="B410" s="4"/>
    </row>
    <row r="411" spans="1:2" ht="15.75" customHeight="1">
      <c r="A411" s="6"/>
      <c r="B411" s="4"/>
    </row>
    <row r="412" spans="1:2" ht="15.75" customHeight="1">
      <c r="A412" s="6"/>
      <c r="B412" s="4"/>
    </row>
    <row r="413" spans="1:2" ht="15.75" customHeight="1">
      <c r="A413" s="6"/>
      <c r="B413" s="4"/>
    </row>
    <row r="414" spans="1:2" ht="15.75" customHeight="1">
      <c r="A414" s="6"/>
      <c r="B414" s="4"/>
    </row>
    <row r="415" spans="1:2" ht="15.75" customHeight="1">
      <c r="A415" s="6"/>
      <c r="B415" s="4"/>
    </row>
    <row r="416" spans="1:2" ht="15.75" customHeight="1">
      <c r="A416" s="6"/>
      <c r="B416" s="4"/>
    </row>
    <row r="417" spans="1:2" ht="15.75" customHeight="1">
      <c r="A417" s="6"/>
      <c r="B417" s="4"/>
    </row>
    <row r="418" spans="1:2" ht="15.75" customHeight="1">
      <c r="A418" s="6"/>
      <c r="B418" s="4"/>
    </row>
    <row r="419" spans="1:2" ht="15.75" customHeight="1">
      <c r="A419" s="6"/>
      <c r="B419" s="4"/>
    </row>
    <row r="420" spans="1:2" ht="15.75" customHeight="1">
      <c r="A420" s="6"/>
      <c r="B420" s="4"/>
    </row>
    <row r="421" spans="1:2" ht="15.75" customHeight="1">
      <c r="A421" s="6"/>
      <c r="B421" s="4"/>
    </row>
    <row r="422" spans="1:2" ht="15.75" customHeight="1">
      <c r="A422" s="6"/>
      <c r="B422" s="4"/>
    </row>
    <row r="423" spans="1:2" ht="15.75" customHeight="1">
      <c r="A423" s="6"/>
      <c r="B423" s="4"/>
    </row>
    <row r="424" spans="1:2" ht="15.75" customHeight="1">
      <c r="A424" s="6"/>
      <c r="B424" s="4"/>
    </row>
    <row r="425" spans="1:2" ht="15.75" customHeight="1">
      <c r="A425" s="6"/>
      <c r="B425" s="4"/>
    </row>
    <row r="426" spans="1:2" ht="15.75" customHeight="1">
      <c r="A426" s="6"/>
      <c r="B426" s="4"/>
    </row>
    <row r="427" spans="1:2" ht="15.75" customHeight="1">
      <c r="A427" s="6"/>
      <c r="B427" s="4"/>
    </row>
    <row r="428" spans="1:2" ht="15.75" customHeight="1">
      <c r="A428" s="6"/>
      <c r="B428" s="4"/>
    </row>
    <row r="429" spans="1:2" ht="15.75" customHeight="1">
      <c r="A429" s="6"/>
      <c r="B429" s="4"/>
    </row>
    <row r="430" spans="1:2" ht="15.75" customHeight="1">
      <c r="A430" s="6"/>
      <c r="B430" s="4"/>
    </row>
    <row r="431" spans="1:2" ht="15.75" customHeight="1">
      <c r="A431" s="6"/>
      <c r="B431" s="4"/>
    </row>
    <row r="432" spans="1:2" ht="15.75" customHeight="1">
      <c r="A432" s="6"/>
      <c r="B432" s="4"/>
    </row>
    <row r="433" spans="1:2" ht="15.75" customHeight="1">
      <c r="A433" s="6"/>
      <c r="B433" s="4"/>
    </row>
    <row r="434" spans="1:2" ht="15.75" customHeight="1">
      <c r="A434" s="6"/>
      <c r="B434" s="4"/>
    </row>
    <row r="435" spans="1:2" ht="15.75" customHeight="1">
      <c r="A435" s="6"/>
      <c r="B435" s="4"/>
    </row>
    <row r="436" spans="1:2" ht="15.75" customHeight="1">
      <c r="A436" s="6"/>
      <c r="B436" s="4"/>
    </row>
    <row r="437" spans="1:2" ht="15.75" customHeight="1">
      <c r="A437" s="6"/>
      <c r="B437" s="4"/>
    </row>
    <row r="438" spans="1:2" ht="15.75" customHeight="1">
      <c r="A438" s="6"/>
      <c r="B438" s="4"/>
    </row>
    <row r="439" spans="1:2" ht="15.75" customHeight="1">
      <c r="A439" s="6"/>
      <c r="B439" s="4"/>
    </row>
    <row r="440" spans="1:2" ht="15.75" customHeight="1">
      <c r="A440" s="6"/>
      <c r="B440" s="4"/>
    </row>
    <row r="441" spans="1:2" ht="15.75" customHeight="1">
      <c r="A441" s="6"/>
      <c r="B441" s="4"/>
    </row>
    <row r="442" spans="1:2" ht="15.75" customHeight="1">
      <c r="A442" s="6"/>
      <c r="B442" s="4"/>
    </row>
    <row r="443" spans="1:2" ht="15.75" customHeight="1">
      <c r="A443" s="6"/>
      <c r="B443" s="4"/>
    </row>
    <row r="444" spans="1:2" ht="15.75" customHeight="1">
      <c r="A444" s="6"/>
      <c r="B444" s="4"/>
    </row>
    <row r="445" spans="1:2" ht="15.75" customHeight="1">
      <c r="A445" s="6"/>
      <c r="B445" s="4"/>
    </row>
    <row r="446" spans="1:2" ht="15.75" customHeight="1">
      <c r="A446" s="6"/>
      <c r="B446" s="4"/>
    </row>
    <row r="447" spans="1:2" ht="15.75" customHeight="1">
      <c r="A447" s="6"/>
      <c r="B447" s="4"/>
    </row>
    <row r="448" spans="1:2" ht="15.75" customHeight="1">
      <c r="A448" s="6"/>
      <c r="B448" s="4"/>
    </row>
    <row r="449" spans="1:2" ht="15.75" customHeight="1">
      <c r="A449" s="6"/>
      <c r="B449" s="4"/>
    </row>
    <row r="450" spans="1:2" ht="15.75" customHeight="1">
      <c r="A450" s="6"/>
      <c r="B450" s="4"/>
    </row>
    <row r="451" spans="1:2" ht="15.75" customHeight="1">
      <c r="A451" s="6"/>
      <c r="B451" s="4"/>
    </row>
    <row r="452" spans="1:2" ht="15.75" customHeight="1">
      <c r="A452" s="6"/>
      <c r="B452" s="4"/>
    </row>
    <row r="453" spans="1:2" ht="15.75" customHeight="1">
      <c r="A453" s="6"/>
      <c r="B453" s="4"/>
    </row>
    <row r="454" spans="1:2" ht="15.75" customHeight="1">
      <c r="A454" s="6"/>
      <c r="B454" s="4"/>
    </row>
    <row r="455" spans="1:2" ht="15.75" customHeight="1">
      <c r="A455" s="6"/>
      <c r="B455" s="4"/>
    </row>
    <row r="456" spans="1:2" ht="15.75" customHeight="1">
      <c r="A456" s="6"/>
      <c r="B456" s="4"/>
    </row>
    <row r="457" spans="1:2" ht="15.75" customHeight="1">
      <c r="A457" s="6"/>
      <c r="B457" s="4"/>
    </row>
    <row r="458" spans="1:2" ht="15.75" customHeight="1">
      <c r="A458" s="6"/>
      <c r="B458" s="4"/>
    </row>
    <row r="459" spans="1:2" ht="15.75" customHeight="1">
      <c r="A459" s="6"/>
      <c r="B459" s="4"/>
    </row>
    <row r="460" spans="1:2" ht="15.75" customHeight="1">
      <c r="A460" s="6"/>
      <c r="B460" s="4"/>
    </row>
    <row r="461" spans="1:2" ht="15.75" customHeight="1">
      <c r="A461" s="6"/>
      <c r="B461" s="4"/>
    </row>
    <row r="462" spans="1:2" ht="15.75" customHeight="1">
      <c r="A462" s="6"/>
      <c r="B462" s="4"/>
    </row>
    <row r="463" spans="1:2" ht="15.75" customHeight="1">
      <c r="A463" s="6"/>
      <c r="B463" s="4"/>
    </row>
    <row r="464" spans="1:2" ht="15.75" customHeight="1">
      <c r="A464" s="6"/>
      <c r="B464" s="4"/>
    </row>
    <row r="465" spans="1:2" ht="15.75" customHeight="1">
      <c r="A465" s="6"/>
      <c r="B465" s="4"/>
    </row>
    <row r="466" spans="1:2" ht="15.75" customHeight="1">
      <c r="A466" s="6"/>
      <c r="B466" s="4"/>
    </row>
    <row r="467" spans="1:2" ht="15.75" customHeight="1">
      <c r="A467" s="6"/>
      <c r="B467" s="4"/>
    </row>
    <row r="468" spans="1:2" ht="15.75" customHeight="1">
      <c r="A468" s="6"/>
      <c r="B468" s="4"/>
    </row>
    <row r="469" spans="1:2" ht="15.75" customHeight="1">
      <c r="A469" s="6"/>
      <c r="B469" s="4"/>
    </row>
    <row r="470" spans="1:2" ht="15.75" customHeight="1">
      <c r="A470" s="6"/>
      <c r="B470" s="4"/>
    </row>
    <row r="471" spans="1:2" ht="15.75" customHeight="1">
      <c r="A471" s="6"/>
      <c r="B471" s="4"/>
    </row>
    <row r="472" spans="1:2" ht="15.75" customHeight="1">
      <c r="A472" s="6"/>
      <c r="B472" s="4"/>
    </row>
    <row r="473" spans="1:2" ht="15.75" customHeight="1">
      <c r="A473" s="6"/>
      <c r="B473" s="4"/>
    </row>
    <row r="474" spans="1:2" ht="15.75" customHeight="1">
      <c r="A474" s="6"/>
      <c r="B474" s="4"/>
    </row>
    <row r="475" spans="1:2" ht="15.75" customHeight="1">
      <c r="A475" s="6"/>
      <c r="B475" s="4"/>
    </row>
    <row r="476" spans="1:2" ht="15.75" customHeight="1">
      <c r="A476" s="6"/>
      <c r="B476" s="4"/>
    </row>
    <row r="477" spans="1:2" ht="15.75" customHeight="1">
      <c r="A477" s="6"/>
      <c r="B477" s="4"/>
    </row>
    <row r="478" spans="1:2" ht="15.75" customHeight="1">
      <c r="A478" s="6"/>
      <c r="B478" s="4"/>
    </row>
    <row r="479" spans="1:2" ht="15.75" customHeight="1">
      <c r="A479" s="6"/>
      <c r="B479" s="4"/>
    </row>
    <row r="480" spans="1:2" ht="15.75" customHeight="1">
      <c r="A480" s="6"/>
      <c r="B480" s="4"/>
    </row>
    <row r="481" spans="1:2" ht="15.75" customHeight="1">
      <c r="A481" s="6"/>
      <c r="B481" s="4"/>
    </row>
    <row r="482" spans="1:2" ht="15.75" customHeight="1">
      <c r="A482" s="6"/>
      <c r="B482" s="4"/>
    </row>
    <row r="483" spans="1:2" ht="15.75" customHeight="1">
      <c r="A483" s="6"/>
      <c r="B483" s="4"/>
    </row>
    <row r="484" spans="1:2" ht="15.75" customHeight="1">
      <c r="A484" s="6"/>
      <c r="B484" s="4"/>
    </row>
    <row r="485" spans="1:2" ht="15.75" customHeight="1">
      <c r="A485" s="6"/>
      <c r="B485" s="4"/>
    </row>
    <row r="486" spans="1:2" ht="15.75" customHeight="1">
      <c r="A486" s="6"/>
      <c r="B486" s="4"/>
    </row>
    <row r="487" spans="1:2" ht="15.75" customHeight="1">
      <c r="A487" s="6"/>
      <c r="B487" s="4"/>
    </row>
    <row r="488" spans="1:2" ht="15.75" customHeight="1">
      <c r="A488" s="6"/>
      <c r="B488" s="4"/>
    </row>
    <row r="489" spans="1:2" ht="15.75" customHeight="1">
      <c r="A489" s="6"/>
      <c r="B489" s="4"/>
    </row>
    <row r="490" spans="1:2" ht="15.75" customHeight="1">
      <c r="A490" s="6"/>
      <c r="B490" s="4"/>
    </row>
    <row r="491" spans="1:2" ht="15.75" customHeight="1">
      <c r="A491" s="6"/>
      <c r="B491" s="4"/>
    </row>
    <row r="492" spans="1:2" ht="15.75" customHeight="1">
      <c r="A492" s="6"/>
      <c r="B492" s="4"/>
    </row>
    <row r="493" spans="1:2" ht="15.75" customHeight="1">
      <c r="A493" s="6"/>
      <c r="B493" s="4"/>
    </row>
    <row r="494" spans="1:2" ht="15.75" customHeight="1">
      <c r="A494" s="6"/>
      <c r="B494" s="4"/>
    </row>
    <row r="495" spans="1:2" ht="15.75" customHeight="1">
      <c r="A495" s="6"/>
      <c r="B495" s="4"/>
    </row>
    <row r="496" spans="1:2" ht="15.75" customHeight="1">
      <c r="A496" s="6"/>
      <c r="B496" s="4"/>
    </row>
    <row r="497" spans="1:2" ht="15.75" customHeight="1">
      <c r="A497" s="6"/>
      <c r="B497" s="4"/>
    </row>
    <row r="498" spans="1:2" ht="15.75" customHeight="1">
      <c r="A498" s="6"/>
      <c r="B498" s="4"/>
    </row>
    <row r="499" spans="1:2" ht="15.75" customHeight="1">
      <c r="A499" s="6"/>
      <c r="B499" s="4"/>
    </row>
    <row r="500" spans="1:2" ht="15.75" customHeight="1">
      <c r="A500" s="6"/>
      <c r="B500" s="4"/>
    </row>
    <row r="501" spans="1:2" ht="15.75" customHeight="1">
      <c r="A501" s="6"/>
      <c r="B501" s="4"/>
    </row>
    <row r="502" spans="1:2" ht="15.75" customHeight="1">
      <c r="A502" s="6"/>
      <c r="B502" s="4"/>
    </row>
    <row r="503" spans="1:2" ht="15.75" customHeight="1">
      <c r="A503" s="6"/>
      <c r="B503" s="4"/>
    </row>
    <row r="504" spans="1:2" ht="15.75" customHeight="1">
      <c r="A504" s="6"/>
      <c r="B504" s="4"/>
    </row>
    <row r="505" spans="1:2" ht="15.75" customHeight="1">
      <c r="A505" s="6"/>
      <c r="B505" s="4"/>
    </row>
    <row r="506" spans="1:2" ht="15.75" customHeight="1">
      <c r="A506" s="6"/>
      <c r="B506" s="4"/>
    </row>
    <row r="507" spans="1:2" ht="15.75" customHeight="1">
      <c r="A507" s="6"/>
      <c r="B507" s="4"/>
    </row>
    <row r="508" spans="1:2" ht="15.75" customHeight="1">
      <c r="A508" s="6"/>
      <c r="B508" s="4"/>
    </row>
    <row r="509" spans="1:2" ht="15.75" customHeight="1">
      <c r="A509" s="6"/>
      <c r="B509" s="4"/>
    </row>
    <row r="510" spans="1:2" ht="15.75" customHeight="1">
      <c r="A510" s="6"/>
      <c r="B510" s="4"/>
    </row>
    <row r="511" spans="1:2" ht="15.75" customHeight="1">
      <c r="A511" s="6"/>
      <c r="B511" s="4"/>
    </row>
    <row r="512" spans="1:2" ht="15.75" customHeight="1">
      <c r="A512" s="6"/>
      <c r="B512" s="4"/>
    </row>
    <row r="513" spans="1:2" ht="15.75" customHeight="1">
      <c r="A513" s="6"/>
      <c r="B513" s="4"/>
    </row>
    <row r="514" spans="1:2" ht="15.75" customHeight="1">
      <c r="A514" s="6"/>
      <c r="B514" s="4"/>
    </row>
    <row r="515" spans="1:2" ht="15.75" customHeight="1">
      <c r="A515" s="6"/>
      <c r="B515" s="4"/>
    </row>
    <row r="516" spans="1:2" ht="15.75" customHeight="1">
      <c r="A516" s="6"/>
      <c r="B516" s="4"/>
    </row>
    <row r="517" spans="1:2" ht="15.75" customHeight="1">
      <c r="A517" s="6"/>
      <c r="B517" s="4"/>
    </row>
    <row r="518" spans="1:2" ht="15.75" customHeight="1">
      <c r="A518" s="6"/>
      <c r="B518" s="4"/>
    </row>
    <row r="519" spans="1:2" ht="15.75" customHeight="1">
      <c r="A519" s="6"/>
      <c r="B519" s="4"/>
    </row>
    <row r="520" spans="1:2" ht="15.75" customHeight="1">
      <c r="A520" s="6"/>
      <c r="B520" s="4"/>
    </row>
    <row r="521" spans="1:2" ht="15.75" customHeight="1">
      <c r="A521" s="6"/>
      <c r="B521" s="4"/>
    </row>
    <row r="522" spans="1:2" ht="15.75" customHeight="1">
      <c r="A522" s="6"/>
      <c r="B522" s="4"/>
    </row>
    <row r="523" spans="1:2" ht="15.75" customHeight="1">
      <c r="A523" s="6"/>
      <c r="B523" s="4"/>
    </row>
    <row r="524" spans="1:2" ht="15.75" customHeight="1">
      <c r="A524" s="6"/>
      <c r="B524" s="4"/>
    </row>
    <row r="525" spans="1:2" ht="15.75" customHeight="1">
      <c r="A525" s="6"/>
      <c r="B525" s="4"/>
    </row>
    <row r="526" spans="1:2" ht="15.75" customHeight="1">
      <c r="A526" s="6"/>
      <c r="B526" s="4"/>
    </row>
    <row r="527" spans="1:2" ht="15.75" customHeight="1">
      <c r="A527" s="6"/>
      <c r="B527" s="4"/>
    </row>
    <row r="528" spans="1:2" ht="15.75" customHeight="1">
      <c r="A528" s="6"/>
      <c r="B528" s="4"/>
    </row>
    <row r="529" spans="1:2" ht="15.75" customHeight="1">
      <c r="A529" s="6"/>
      <c r="B529" s="4"/>
    </row>
    <row r="530" spans="1:2" ht="15.75" customHeight="1">
      <c r="A530" s="6"/>
      <c r="B530" s="4"/>
    </row>
    <row r="531" spans="1:2" ht="15.75" customHeight="1">
      <c r="A531" s="6"/>
      <c r="B531" s="4"/>
    </row>
    <row r="532" spans="1:2" ht="15.75" customHeight="1">
      <c r="A532" s="6"/>
      <c r="B532" s="4"/>
    </row>
    <row r="533" spans="1:2" ht="15.75" customHeight="1">
      <c r="A533" s="6"/>
      <c r="B533" s="4"/>
    </row>
    <row r="534" spans="1:2" ht="15.75" customHeight="1">
      <c r="A534" s="6"/>
      <c r="B534" s="4"/>
    </row>
    <row r="535" spans="1:2" ht="15.75" customHeight="1">
      <c r="A535" s="6"/>
      <c r="B535" s="4"/>
    </row>
    <row r="536" spans="1:2" ht="15.75" customHeight="1">
      <c r="A536" s="6"/>
      <c r="B536" s="4"/>
    </row>
    <row r="537" spans="1:2" ht="15.75" customHeight="1">
      <c r="A537" s="6"/>
      <c r="B537" s="4"/>
    </row>
    <row r="538" spans="1:2" ht="15.75" customHeight="1">
      <c r="A538" s="6"/>
      <c r="B538" s="4"/>
    </row>
    <row r="539" spans="1:2" ht="15.75" customHeight="1">
      <c r="A539" s="6"/>
      <c r="B539" s="4"/>
    </row>
    <row r="540" spans="1:2" ht="15.75" customHeight="1">
      <c r="A540" s="6"/>
      <c r="B540" s="4"/>
    </row>
    <row r="541" spans="1:2" ht="15.75" customHeight="1">
      <c r="A541" s="6"/>
      <c r="B541" s="4"/>
    </row>
    <row r="542" spans="1:2" ht="15.75" customHeight="1">
      <c r="A542" s="6"/>
      <c r="B542" s="4"/>
    </row>
    <row r="543" spans="1:2" ht="15.75" customHeight="1">
      <c r="A543" s="6"/>
      <c r="B543" s="4"/>
    </row>
    <row r="544" spans="1:2" ht="15.75" customHeight="1">
      <c r="A544" s="6"/>
      <c r="B544" s="4"/>
    </row>
    <row r="545" spans="1:2" ht="15.75" customHeight="1">
      <c r="A545" s="6"/>
      <c r="B545" s="4"/>
    </row>
    <row r="546" spans="1:2" ht="15.75" customHeight="1">
      <c r="A546" s="6"/>
      <c r="B546" s="4"/>
    </row>
    <row r="547" spans="1:2" ht="15.75" customHeight="1">
      <c r="A547" s="6"/>
      <c r="B547" s="4"/>
    </row>
    <row r="548" spans="1:2" ht="15.75" customHeight="1">
      <c r="A548" s="6"/>
      <c r="B548" s="4"/>
    </row>
    <row r="549" spans="1:2" ht="15.75" customHeight="1">
      <c r="A549" s="6"/>
      <c r="B549" s="4"/>
    </row>
    <row r="550" spans="1:2" ht="15.75" customHeight="1">
      <c r="A550" s="6"/>
      <c r="B550" s="4"/>
    </row>
    <row r="551" spans="1:2" ht="15.75" customHeight="1">
      <c r="A551" s="6"/>
      <c r="B551" s="4"/>
    </row>
    <row r="552" spans="1:2" ht="15.75" customHeight="1">
      <c r="A552" s="6"/>
      <c r="B552" s="4"/>
    </row>
    <row r="553" spans="1:2" ht="15.75" customHeight="1">
      <c r="A553" s="6"/>
      <c r="B553" s="4"/>
    </row>
    <row r="554" spans="1:2" ht="15.75" customHeight="1">
      <c r="A554" s="6"/>
      <c r="B554" s="4"/>
    </row>
    <row r="555" spans="1:2" ht="15.75" customHeight="1">
      <c r="A555" s="6"/>
      <c r="B555" s="4"/>
    </row>
    <row r="556" spans="1:2" ht="15.75" customHeight="1">
      <c r="A556" s="6"/>
      <c r="B556" s="4"/>
    </row>
    <row r="557" spans="1:2" ht="15.75" customHeight="1">
      <c r="A557" s="6"/>
      <c r="B557" s="4"/>
    </row>
    <row r="558" spans="1:2" ht="15.75" customHeight="1">
      <c r="A558" s="6"/>
      <c r="B558" s="4"/>
    </row>
    <row r="559" spans="1:2" ht="15.75" customHeight="1">
      <c r="A559" s="6"/>
      <c r="B559" s="4"/>
    </row>
    <row r="560" spans="1:2" ht="15.75" customHeight="1">
      <c r="A560" s="6"/>
      <c r="B560" s="4"/>
    </row>
    <row r="561" spans="1:2" ht="15.75" customHeight="1">
      <c r="A561" s="6"/>
      <c r="B561" s="4"/>
    </row>
    <row r="562" spans="1:2" ht="15.75" customHeight="1">
      <c r="A562" s="6"/>
      <c r="B562" s="4"/>
    </row>
    <row r="563" spans="1:2" ht="15.75" customHeight="1">
      <c r="A563" s="6"/>
      <c r="B563" s="4"/>
    </row>
    <row r="564" spans="1:2" ht="15.75" customHeight="1">
      <c r="A564" s="6"/>
      <c r="B564" s="4"/>
    </row>
    <row r="565" spans="1:2" ht="15.75" customHeight="1">
      <c r="A565" s="6"/>
      <c r="B565" s="4"/>
    </row>
    <row r="566" spans="1:2" ht="15.75" customHeight="1">
      <c r="A566" s="6"/>
      <c r="B566" s="4"/>
    </row>
    <row r="567" spans="1:2" ht="15.75" customHeight="1">
      <c r="A567" s="6"/>
      <c r="B567" s="4"/>
    </row>
    <row r="568" spans="1:2" ht="15.75" customHeight="1">
      <c r="A568" s="6"/>
      <c r="B568" s="4"/>
    </row>
    <row r="569" spans="1:2" ht="15.75" customHeight="1">
      <c r="A569" s="6"/>
      <c r="B569" s="4"/>
    </row>
    <row r="570" spans="1:2" ht="15.75" customHeight="1">
      <c r="A570" s="6"/>
      <c r="B570" s="4"/>
    </row>
    <row r="571" spans="1:2" ht="15.75" customHeight="1">
      <c r="A571" s="6"/>
      <c r="B571" s="4"/>
    </row>
    <row r="572" spans="1:2" ht="15.75" customHeight="1">
      <c r="A572" s="6"/>
      <c r="B572" s="4"/>
    </row>
    <row r="573" spans="1:2" ht="15.75" customHeight="1">
      <c r="A573" s="6"/>
      <c r="B573" s="4"/>
    </row>
    <row r="574" spans="1:2" ht="15.75" customHeight="1">
      <c r="A574" s="6"/>
      <c r="B574" s="4"/>
    </row>
    <row r="575" spans="1:2" ht="15.75" customHeight="1">
      <c r="A575" s="6"/>
      <c r="B575" s="4"/>
    </row>
    <row r="576" spans="1:2" ht="15.75" customHeight="1">
      <c r="A576" s="6"/>
      <c r="B576" s="4"/>
    </row>
    <row r="577" spans="1:2" ht="15.75" customHeight="1">
      <c r="A577" s="6"/>
      <c r="B577" s="4"/>
    </row>
    <row r="578" spans="1:2" ht="15.75" customHeight="1">
      <c r="A578" s="6"/>
      <c r="B578" s="4"/>
    </row>
    <row r="579" spans="1:2" ht="15.75" customHeight="1">
      <c r="A579" s="6"/>
      <c r="B579" s="4"/>
    </row>
    <row r="580" spans="1:2" ht="15.75" customHeight="1">
      <c r="A580" s="6"/>
      <c r="B580" s="4"/>
    </row>
    <row r="581" spans="1:2" ht="15.75" customHeight="1">
      <c r="A581" s="6"/>
      <c r="B581" s="4"/>
    </row>
    <row r="582" spans="1:2" ht="15.75" customHeight="1">
      <c r="A582" s="6"/>
      <c r="B582" s="4"/>
    </row>
    <row r="583" spans="1:2" ht="15.75" customHeight="1">
      <c r="A583" s="6"/>
      <c r="B583" s="4"/>
    </row>
    <row r="584" spans="1:2" ht="15.75" customHeight="1">
      <c r="A584" s="6"/>
      <c r="B584" s="4"/>
    </row>
    <row r="585" spans="1:2" ht="15.75" customHeight="1">
      <c r="A585" s="6"/>
      <c r="B585" s="4"/>
    </row>
    <row r="586" spans="1:2" ht="15.75" customHeight="1">
      <c r="A586" s="6"/>
      <c r="B586" s="4"/>
    </row>
    <row r="587" spans="1:2" ht="15.75" customHeight="1">
      <c r="A587" s="6"/>
      <c r="B587" s="4"/>
    </row>
    <row r="588" spans="1:2" ht="15.75" customHeight="1">
      <c r="A588" s="6"/>
      <c r="B588" s="4"/>
    </row>
    <row r="589" spans="1:2" ht="15.75" customHeight="1">
      <c r="A589" s="6"/>
      <c r="B589" s="4"/>
    </row>
    <row r="590" spans="1:2" ht="15.75" customHeight="1">
      <c r="A590" s="6"/>
      <c r="B590" s="4"/>
    </row>
    <row r="591" spans="1:2" ht="15.75" customHeight="1">
      <c r="A591" s="6"/>
      <c r="B591" s="4"/>
    </row>
    <row r="592" spans="1:2" ht="15.75" customHeight="1">
      <c r="A592" s="6"/>
      <c r="B592" s="4"/>
    </row>
    <row r="593" spans="1:2" ht="15.75" customHeight="1">
      <c r="A593" s="6"/>
      <c r="B593" s="4"/>
    </row>
    <row r="594" spans="1:2" ht="15.75" customHeight="1">
      <c r="A594" s="6"/>
      <c r="B594" s="4"/>
    </row>
    <row r="595" spans="1:2" ht="15.75" customHeight="1">
      <c r="A595" s="6"/>
      <c r="B595" s="4"/>
    </row>
    <row r="596" spans="1:2" ht="15.75" customHeight="1">
      <c r="A596" s="6"/>
      <c r="B596" s="4"/>
    </row>
    <row r="597" spans="1:2" ht="15.75" customHeight="1">
      <c r="A597" s="6"/>
      <c r="B597" s="4"/>
    </row>
    <row r="598" spans="1:2" ht="15.75" customHeight="1">
      <c r="A598" s="6"/>
      <c r="B598" s="4"/>
    </row>
    <row r="599" spans="1:2" ht="15.75" customHeight="1">
      <c r="A599" s="6"/>
      <c r="B599" s="4"/>
    </row>
    <row r="600" spans="1:2" ht="15.75" customHeight="1">
      <c r="A600" s="6"/>
      <c r="B600" s="4"/>
    </row>
    <row r="601" spans="1:2" ht="15.75" customHeight="1">
      <c r="A601" s="6"/>
      <c r="B601" s="4"/>
    </row>
    <row r="602" spans="1:2" ht="15.75" customHeight="1">
      <c r="A602" s="6"/>
      <c r="B602" s="4"/>
    </row>
    <row r="603" spans="1:2" ht="15.75" customHeight="1">
      <c r="A603" s="6"/>
      <c r="B603" s="4"/>
    </row>
    <row r="604" spans="1:2" ht="15.75" customHeight="1">
      <c r="A604" s="6"/>
      <c r="B604" s="4"/>
    </row>
    <row r="605" spans="1:2" ht="15.75" customHeight="1">
      <c r="A605" s="6"/>
      <c r="B605" s="4"/>
    </row>
    <row r="606" spans="1:2" ht="15.75" customHeight="1">
      <c r="A606" s="6"/>
      <c r="B606" s="4"/>
    </row>
    <row r="607" spans="1:2" ht="15.75" customHeight="1">
      <c r="A607" s="6"/>
      <c r="B607" s="4"/>
    </row>
    <row r="608" spans="1:2" ht="15.75" customHeight="1">
      <c r="A608" s="6"/>
      <c r="B608" s="4"/>
    </row>
    <row r="609" spans="1:2" ht="15.75" customHeight="1">
      <c r="A609" s="6"/>
      <c r="B609" s="4"/>
    </row>
    <row r="610" spans="1:2" ht="15.75" customHeight="1">
      <c r="A610" s="6"/>
      <c r="B610" s="4"/>
    </row>
    <row r="611" spans="1:2" ht="15.75" customHeight="1">
      <c r="A611" s="6"/>
      <c r="B611" s="4"/>
    </row>
    <row r="612" spans="1:2" ht="15.75" customHeight="1">
      <c r="A612" s="6"/>
      <c r="B612" s="4"/>
    </row>
    <row r="613" spans="1:2" ht="15.75" customHeight="1">
      <c r="A613" s="6"/>
      <c r="B613" s="4"/>
    </row>
    <row r="614" spans="1:2" ht="15.75" customHeight="1">
      <c r="A614" s="6"/>
      <c r="B614" s="4"/>
    </row>
    <row r="615" spans="1:2" ht="15.75" customHeight="1">
      <c r="A615" s="6"/>
      <c r="B615" s="4"/>
    </row>
    <row r="616" spans="1:2" ht="15.75" customHeight="1">
      <c r="A616" s="6"/>
      <c r="B616" s="4"/>
    </row>
    <row r="617" spans="1:2" ht="15.75" customHeight="1">
      <c r="A617" s="6"/>
      <c r="B617" s="4"/>
    </row>
    <row r="618" spans="1:2" ht="15.75" customHeight="1">
      <c r="A618" s="6"/>
      <c r="B618" s="4"/>
    </row>
    <row r="619" spans="1:2" ht="15.75" customHeight="1">
      <c r="A619" s="6"/>
      <c r="B619" s="4"/>
    </row>
    <row r="620" spans="1:2" ht="15.75" customHeight="1">
      <c r="A620" s="6"/>
      <c r="B620" s="4"/>
    </row>
    <row r="621" spans="1:2" ht="15.75" customHeight="1">
      <c r="A621" s="6"/>
      <c r="B621" s="4"/>
    </row>
    <row r="622" spans="1:2" ht="15.75" customHeight="1">
      <c r="A622" s="6"/>
      <c r="B622" s="4"/>
    </row>
    <row r="623" spans="1:2" ht="15.75" customHeight="1">
      <c r="A623" s="6"/>
      <c r="B623" s="4"/>
    </row>
    <row r="624" spans="1:2" ht="15.75" customHeight="1">
      <c r="A624" s="6"/>
      <c r="B624" s="4"/>
    </row>
    <row r="625" spans="1:2" ht="15.75" customHeight="1">
      <c r="A625" s="6"/>
      <c r="B625" s="4"/>
    </row>
    <row r="626" spans="1:2" ht="15.75" customHeight="1">
      <c r="A626" s="6"/>
      <c r="B626" s="4"/>
    </row>
    <row r="627" spans="1:2" ht="15.75" customHeight="1">
      <c r="A627" s="6"/>
      <c r="B627" s="4"/>
    </row>
    <row r="628" spans="1:2" ht="15.75" customHeight="1">
      <c r="A628" s="6"/>
      <c r="B628" s="4"/>
    </row>
    <row r="629" spans="1:2" ht="15.75" customHeight="1">
      <c r="A629" s="6"/>
      <c r="B629" s="4"/>
    </row>
    <row r="630" spans="1:2" ht="15.75" customHeight="1">
      <c r="A630" s="6"/>
      <c r="B630" s="4"/>
    </row>
    <row r="631" spans="1:2" ht="15.75" customHeight="1">
      <c r="A631" s="6"/>
      <c r="B631" s="4"/>
    </row>
    <row r="632" spans="1:2" ht="15.75" customHeight="1">
      <c r="A632" s="6"/>
      <c r="B632" s="4"/>
    </row>
    <row r="633" spans="1:2" ht="15.75" customHeight="1">
      <c r="A633" s="6"/>
      <c r="B633" s="4"/>
    </row>
    <row r="634" spans="1:2" ht="15.75" customHeight="1">
      <c r="A634" s="6"/>
      <c r="B634" s="4"/>
    </row>
    <row r="635" spans="1:2" ht="15.75" customHeight="1">
      <c r="A635" s="6"/>
      <c r="B635" s="4"/>
    </row>
    <row r="636" spans="1:2" ht="15.75" customHeight="1">
      <c r="A636" s="6"/>
      <c r="B636" s="4"/>
    </row>
    <row r="637" spans="1:2" ht="15.75" customHeight="1">
      <c r="A637" s="6"/>
      <c r="B637" s="4"/>
    </row>
    <row r="638" spans="1:2" ht="15.75" customHeight="1">
      <c r="A638" s="6"/>
      <c r="B638" s="4"/>
    </row>
    <row r="639" spans="1:2" ht="15.75" customHeight="1">
      <c r="A639" s="6"/>
      <c r="B639" s="4"/>
    </row>
    <row r="640" spans="1:2" ht="15.75" customHeight="1">
      <c r="A640" s="6"/>
      <c r="B640" s="4"/>
    </row>
    <row r="641" spans="1:2" ht="15.75" customHeight="1">
      <c r="A641" s="6"/>
      <c r="B641" s="4"/>
    </row>
    <row r="642" spans="1:2" ht="15.75" customHeight="1">
      <c r="A642" s="6"/>
      <c r="B642" s="4"/>
    </row>
    <row r="643" spans="1:2" ht="15.75" customHeight="1">
      <c r="A643" s="6"/>
      <c r="B643" s="4"/>
    </row>
    <row r="644" spans="1:2" ht="15.75" customHeight="1">
      <c r="A644" s="6"/>
      <c r="B644" s="4"/>
    </row>
    <row r="645" spans="1:2" ht="15.75" customHeight="1">
      <c r="A645" s="6"/>
      <c r="B645" s="4"/>
    </row>
    <row r="646" spans="1:2" ht="15.75" customHeight="1">
      <c r="A646" s="6"/>
      <c r="B646" s="4"/>
    </row>
    <row r="647" spans="1:2" ht="15.75" customHeight="1">
      <c r="A647" s="6"/>
      <c r="B647" s="4"/>
    </row>
    <row r="648" spans="1:2" ht="15.75" customHeight="1">
      <c r="A648" s="6"/>
      <c r="B648" s="4"/>
    </row>
    <row r="649" spans="1:2" ht="15.75" customHeight="1">
      <c r="A649" s="6"/>
      <c r="B649" s="4"/>
    </row>
    <row r="650" spans="1:2" ht="15.75" customHeight="1">
      <c r="A650" s="6"/>
      <c r="B650" s="4"/>
    </row>
    <row r="651" spans="1:2" ht="15.75" customHeight="1">
      <c r="A651" s="6"/>
      <c r="B651" s="4"/>
    </row>
    <row r="652" spans="1:2" ht="15.75" customHeight="1">
      <c r="A652" s="6"/>
      <c r="B652" s="4"/>
    </row>
    <row r="653" spans="1:2" ht="15.75" customHeight="1">
      <c r="A653" s="6"/>
      <c r="B653" s="4"/>
    </row>
    <row r="654" spans="1:2" ht="15.75" customHeight="1">
      <c r="A654" s="6"/>
      <c r="B654" s="4"/>
    </row>
    <row r="655" spans="1:2" ht="15.75" customHeight="1">
      <c r="A655" s="6"/>
      <c r="B655" s="4"/>
    </row>
    <row r="656" spans="1:2" ht="15.75" customHeight="1">
      <c r="A656" s="6"/>
      <c r="B656" s="4"/>
    </row>
    <row r="657" spans="1:2" ht="15.75" customHeight="1">
      <c r="A657" s="6"/>
      <c r="B657" s="4"/>
    </row>
    <row r="658" spans="1:2" ht="15.75" customHeight="1">
      <c r="A658" s="6"/>
      <c r="B658" s="4"/>
    </row>
    <row r="659" spans="1:2" ht="15.75" customHeight="1">
      <c r="A659" s="6"/>
      <c r="B659" s="4"/>
    </row>
    <row r="660" spans="1:2" ht="15.75" customHeight="1">
      <c r="A660" s="6"/>
      <c r="B660" s="4"/>
    </row>
    <row r="661" spans="1:2" ht="15.75" customHeight="1">
      <c r="A661" s="6"/>
      <c r="B661" s="4"/>
    </row>
    <row r="662" spans="1:2" ht="15.75" customHeight="1">
      <c r="A662" s="6"/>
      <c r="B662" s="4"/>
    </row>
    <row r="663" spans="1:2" ht="15.75" customHeight="1">
      <c r="A663" s="6"/>
      <c r="B663" s="4"/>
    </row>
    <row r="664" spans="1:2" ht="15.75" customHeight="1">
      <c r="A664" s="6"/>
      <c r="B664" s="4"/>
    </row>
    <row r="665" spans="1:2" ht="15.75" customHeight="1">
      <c r="A665" s="6"/>
      <c r="B665" s="4"/>
    </row>
    <row r="666" spans="1:2" ht="15.75" customHeight="1">
      <c r="A666" s="6"/>
      <c r="B666" s="4"/>
    </row>
    <row r="667" spans="1:2" ht="15.75" customHeight="1">
      <c r="A667" s="6"/>
      <c r="B667" s="4"/>
    </row>
    <row r="668" spans="1:2" ht="15.75" customHeight="1">
      <c r="A668" s="6"/>
      <c r="B668" s="4"/>
    </row>
    <row r="669" spans="1:2" ht="15.75" customHeight="1">
      <c r="A669" s="6"/>
      <c r="B669" s="4"/>
    </row>
    <row r="670" spans="1:2" ht="15.75" customHeight="1">
      <c r="A670" s="6"/>
      <c r="B670" s="4"/>
    </row>
    <row r="671" spans="1:2" ht="15.75" customHeight="1">
      <c r="A671" s="6"/>
      <c r="B671" s="4"/>
    </row>
    <row r="672" spans="1:2" ht="15.75" customHeight="1">
      <c r="A672" s="6"/>
      <c r="B672" s="4"/>
    </row>
    <row r="673" spans="1:2" ht="15.75" customHeight="1">
      <c r="A673" s="6"/>
      <c r="B673" s="4"/>
    </row>
    <row r="674" spans="1:2" ht="15.75" customHeight="1">
      <c r="A674" s="6"/>
      <c r="B674" s="4"/>
    </row>
    <row r="675" spans="1:2" ht="15.75" customHeight="1">
      <c r="A675" s="6"/>
      <c r="B675" s="4"/>
    </row>
    <row r="676" spans="1:2" ht="15.75" customHeight="1">
      <c r="A676" s="6"/>
      <c r="B676" s="4"/>
    </row>
    <row r="677" spans="1:2" ht="15.75" customHeight="1">
      <c r="A677" s="6"/>
      <c r="B677" s="4"/>
    </row>
    <row r="678" spans="1:2" ht="15.75" customHeight="1">
      <c r="A678" s="6"/>
      <c r="B678" s="4"/>
    </row>
    <row r="679" spans="1:2" ht="15.75" customHeight="1">
      <c r="A679" s="6"/>
      <c r="B679" s="4"/>
    </row>
    <row r="680" spans="1:2" ht="15.75" customHeight="1">
      <c r="A680" s="6"/>
      <c r="B680" s="4"/>
    </row>
    <row r="681" spans="1:2" ht="15.75" customHeight="1">
      <c r="A681" s="6"/>
      <c r="B681" s="4"/>
    </row>
    <row r="682" spans="1:2" ht="15.75" customHeight="1">
      <c r="A682" s="6"/>
      <c r="B682" s="4"/>
    </row>
    <row r="683" spans="1:2" ht="15.75" customHeight="1">
      <c r="A683" s="6"/>
      <c r="B683" s="4"/>
    </row>
    <row r="684" spans="1:2" ht="15.75" customHeight="1">
      <c r="A684" s="6"/>
      <c r="B684" s="4"/>
    </row>
    <row r="685" spans="1:2" ht="15.75" customHeight="1">
      <c r="A685" s="6"/>
      <c r="B685" s="4"/>
    </row>
    <row r="686" spans="1:2" ht="15.75" customHeight="1">
      <c r="A686" s="6"/>
      <c r="B686" s="4"/>
    </row>
    <row r="687" spans="1:2" ht="15.75" customHeight="1">
      <c r="A687" s="6"/>
      <c r="B687" s="4"/>
    </row>
    <row r="688" spans="1:2" ht="15.75" customHeight="1">
      <c r="A688" s="6"/>
      <c r="B688" s="4"/>
    </row>
    <row r="689" spans="1:2" ht="15.75" customHeight="1">
      <c r="A689" s="6"/>
      <c r="B689" s="4"/>
    </row>
    <row r="690" spans="1:2" ht="15.75" customHeight="1">
      <c r="A690" s="6"/>
      <c r="B690" s="4"/>
    </row>
    <row r="691" spans="1:2" ht="15.75" customHeight="1">
      <c r="A691" s="6"/>
      <c r="B691" s="4"/>
    </row>
    <row r="692" spans="1:2" ht="15.75" customHeight="1">
      <c r="A692" s="6"/>
      <c r="B692" s="4"/>
    </row>
    <row r="693" spans="1:2" ht="15.75" customHeight="1">
      <c r="A693" s="6"/>
      <c r="B693" s="4"/>
    </row>
    <row r="694" spans="1:2" ht="15.75" customHeight="1">
      <c r="A694" s="6"/>
      <c r="B694" s="4"/>
    </row>
    <row r="695" spans="1:2" ht="15.75" customHeight="1">
      <c r="A695" s="6"/>
      <c r="B695" s="4"/>
    </row>
    <row r="696" spans="1:2" ht="15.75" customHeight="1">
      <c r="A696" s="6"/>
      <c r="B696" s="4"/>
    </row>
    <row r="697" spans="1:2" ht="15.75" customHeight="1">
      <c r="A697" s="6"/>
      <c r="B697" s="4"/>
    </row>
    <row r="698" spans="1:2" ht="15.75" customHeight="1">
      <c r="A698" s="6"/>
      <c r="B698" s="4"/>
    </row>
    <row r="699" spans="1:2" ht="15.75" customHeight="1">
      <c r="A699" s="6"/>
      <c r="B699" s="4"/>
    </row>
    <row r="700" spans="1:2" ht="15.75" customHeight="1">
      <c r="A700" s="6"/>
      <c r="B700" s="4"/>
    </row>
    <row r="701" spans="1:2" ht="15.75" customHeight="1">
      <c r="A701" s="6"/>
      <c r="B701" s="4"/>
    </row>
    <row r="702" spans="1:2" ht="15.75" customHeight="1">
      <c r="A702" s="6"/>
      <c r="B702" s="4"/>
    </row>
    <row r="703" spans="1:2" ht="15.75" customHeight="1">
      <c r="A703" s="6"/>
      <c r="B703" s="4"/>
    </row>
    <row r="704" spans="1:2" ht="15.75" customHeight="1">
      <c r="A704" s="6"/>
      <c r="B704" s="4"/>
    </row>
    <row r="705" spans="1:2" ht="15.75" customHeight="1">
      <c r="A705" s="6"/>
      <c r="B705" s="4"/>
    </row>
    <row r="706" spans="1:2" ht="15.75" customHeight="1">
      <c r="A706" s="6"/>
      <c r="B706" s="4"/>
    </row>
    <row r="707" spans="1:2" ht="15.75" customHeight="1">
      <c r="A707" s="6"/>
      <c r="B707" s="4"/>
    </row>
    <row r="708" spans="1:2" ht="15.75" customHeight="1">
      <c r="A708" s="6"/>
      <c r="B708" s="4"/>
    </row>
    <row r="709" spans="1:2" ht="15.75" customHeight="1">
      <c r="A709" s="6"/>
      <c r="B709" s="4"/>
    </row>
    <row r="710" spans="1:2" ht="15.75" customHeight="1">
      <c r="A710" s="6"/>
      <c r="B710" s="4"/>
    </row>
    <row r="711" spans="1:2" ht="15.75" customHeight="1">
      <c r="A711" s="6"/>
      <c r="B711" s="4"/>
    </row>
    <row r="712" spans="1:2" ht="15.75" customHeight="1">
      <c r="A712" s="6"/>
      <c r="B712" s="4"/>
    </row>
    <row r="713" spans="1:2" ht="15.75" customHeight="1">
      <c r="A713" s="6"/>
      <c r="B713" s="4"/>
    </row>
    <row r="714" spans="1:2" ht="15.75" customHeight="1">
      <c r="A714" s="6"/>
      <c r="B714" s="4"/>
    </row>
    <row r="715" spans="1:2" ht="15.75" customHeight="1">
      <c r="A715" s="6"/>
      <c r="B715" s="4"/>
    </row>
    <row r="716" spans="1:2" ht="15.75" customHeight="1">
      <c r="A716" s="6"/>
      <c r="B716" s="4"/>
    </row>
    <row r="717" spans="1:2" ht="15.75" customHeight="1">
      <c r="A717" s="6"/>
      <c r="B717" s="4"/>
    </row>
    <row r="718" spans="1:2" ht="15.75" customHeight="1">
      <c r="A718" s="6"/>
      <c r="B718" s="4"/>
    </row>
    <row r="719" spans="1:2" ht="15.75" customHeight="1">
      <c r="A719" s="6"/>
      <c r="B719" s="4"/>
    </row>
    <row r="720" spans="1:2" ht="15.75" customHeight="1">
      <c r="A720" s="6"/>
      <c r="B720" s="4"/>
    </row>
    <row r="721" spans="1:2" ht="15.75" customHeight="1">
      <c r="A721" s="6"/>
      <c r="B721" s="4"/>
    </row>
    <row r="722" spans="1:2" ht="15.75" customHeight="1">
      <c r="A722" s="6"/>
      <c r="B722" s="4"/>
    </row>
    <row r="723" spans="1:2" ht="15.75" customHeight="1">
      <c r="A723" s="6"/>
      <c r="B723" s="4"/>
    </row>
    <row r="724" spans="1:2" ht="15.75" customHeight="1">
      <c r="A724" s="6"/>
      <c r="B724" s="4"/>
    </row>
    <row r="725" spans="1:2" ht="15.75" customHeight="1">
      <c r="A725" s="6"/>
      <c r="B725" s="4"/>
    </row>
    <row r="726" spans="1:2" ht="15.75" customHeight="1">
      <c r="A726" s="6"/>
      <c r="B726" s="4"/>
    </row>
    <row r="727" spans="1:2" ht="15.75" customHeight="1">
      <c r="A727" s="6"/>
      <c r="B727" s="4"/>
    </row>
    <row r="728" spans="1:2" ht="15.75" customHeight="1">
      <c r="A728" s="6"/>
      <c r="B728" s="4"/>
    </row>
    <row r="729" spans="1:2" ht="15.75" customHeight="1">
      <c r="A729" s="6"/>
      <c r="B729" s="4"/>
    </row>
    <row r="730" spans="1:2" ht="15.75" customHeight="1">
      <c r="A730" s="6"/>
      <c r="B730" s="4"/>
    </row>
    <row r="731" spans="1:2" ht="15.75" customHeight="1">
      <c r="A731" s="6"/>
      <c r="B731" s="4"/>
    </row>
    <row r="732" spans="1:2" ht="15.75" customHeight="1">
      <c r="A732" s="6"/>
      <c r="B732" s="4"/>
    </row>
    <row r="733" spans="1:2" ht="15.75" customHeight="1">
      <c r="A733" s="6"/>
      <c r="B733" s="4"/>
    </row>
    <row r="734" spans="1:2" ht="15.75" customHeight="1">
      <c r="A734" s="6"/>
      <c r="B734" s="4"/>
    </row>
    <row r="735" spans="1:2" ht="15.75" customHeight="1">
      <c r="A735" s="6"/>
      <c r="B735" s="4"/>
    </row>
    <row r="736" spans="1:2" ht="15.75" customHeight="1">
      <c r="A736" s="6"/>
      <c r="B736" s="4"/>
    </row>
    <row r="737" spans="1:2" ht="15.75" customHeight="1">
      <c r="A737" s="6"/>
      <c r="B737" s="4"/>
    </row>
    <row r="738" spans="1:2" ht="15.75" customHeight="1">
      <c r="A738" s="6"/>
      <c r="B738" s="4"/>
    </row>
    <row r="739" spans="1:2" ht="15.75" customHeight="1">
      <c r="A739" s="6"/>
      <c r="B739" s="4"/>
    </row>
    <row r="740" spans="1:2" ht="15.75" customHeight="1">
      <c r="A740" s="6"/>
      <c r="B740" s="4"/>
    </row>
    <row r="741" spans="1:2" ht="15.75" customHeight="1">
      <c r="A741" s="6"/>
      <c r="B741" s="4"/>
    </row>
    <row r="742" spans="1:2" ht="15.75" customHeight="1">
      <c r="A742" s="6"/>
      <c r="B742" s="4"/>
    </row>
    <row r="743" spans="1:2" ht="15.75" customHeight="1">
      <c r="A743" s="6"/>
      <c r="B743" s="4"/>
    </row>
    <row r="744" spans="1:2" ht="15.75" customHeight="1">
      <c r="A744" s="6"/>
      <c r="B744" s="4"/>
    </row>
    <row r="745" spans="1:2" ht="15.75" customHeight="1">
      <c r="A745" s="6"/>
      <c r="B745" s="4"/>
    </row>
    <row r="746" spans="1:2" ht="15.75" customHeight="1">
      <c r="A746" s="6"/>
      <c r="B746" s="4"/>
    </row>
    <row r="747" spans="1:2" ht="15.75" customHeight="1">
      <c r="A747" s="6"/>
      <c r="B747" s="4"/>
    </row>
    <row r="748" spans="1:2" ht="15.75" customHeight="1">
      <c r="A748" s="6"/>
      <c r="B748" s="4"/>
    </row>
    <row r="749" spans="1:2" ht="15.75" customHeight="1">
      <c r="A749" s="6"/>
      <c r="B749" s="4"/>
    </row>
    <row r="750" spans="1:2" ht="15.75" customHeight="1">
      <c r="A750" s="6"/>
      <c r="B750" s="4"/>
    </row>
    <row r="751" spans="1:2" ht="15.75" customHeight="1">
      <c r="A751" s="6"/>
      <c r="B751" s="4"/>
    </row>
    <row r="752" spans="1:2" ht="15.75" customHeight="1">
      <c r="A752" s="6"/>
      <c r="B752" s="4"/>
    </row>
    <row r="753" spans="1:2" ht="15.75" customHeight="1">
      <c r="A753" s="6"/>
      <c r="B753" s="4"/>
    </row>
    <row r="754" spans="1:2" ht="15.75" customHeight="1">
      <c r="A754" s="6"/>
      <c r="B754" s="4"/>
    </row>
    <row r="755" spans="1:2" ht="15.75" customHeight="1">
      <c r="A755" s="6"/>
      <c r="B755" s="4"/>
    </row>
    <row r="756" spans="1:2" ht="15.75" customHeight="1">
      <c r="A756" s="6"/>
      <c r="B756" s="4"/>
    </row>
    <row r="757" spans="1:2" ht="15.75" customHeight="1">
      <c r="A757" s="6"/>
      <c r="B757" s="4"/>
    </row>
    <row r="758" spans="1:2" ht="15.75" customHeight="1">
      <c r="A758" s="6"/>
      <c r="B758" s="4"/>
    </row>
    <row r="759" spans="1:2" ht="15.75" customHeight="1">
      <c r="A759" s="6"/>
      <c r="B759" s="4"/>
    </row>
    <row r="760" spans="1:2" ht="15.75" customHeight="1">
      <c r="A760" s="6"/>
      <c r="B760" s="4"/>
    </row>
    <row r="761" spans="1:2" ht="15.75" customHeight="1">
      <c r="A761" s="6"/>
      <c r="B761" s="4"/>
    </row>
    <row r="762" spans="1:2" ht="15.75" customHeight="1">
      <c r="A762" s="6"/>
      <c r="B762" s="4"/>
    </row>
    <row r="763" spans="1:2" ht="15.75" customHeight="1">
      <c r="A763" s="6"/>
      <c r="B763" s="4"/>
    </row>
    <row r="764" spans="1:2" ht="15.75" customHeight="1">
      <c r="A764" s="6"/>
      <c r="B764" s="4"/>
    </row>
    <row r="765" spans="1:2" ht="15.75" customHeight="1">
      <c r="A765" s="6"/>
      <c r="B765" s="4"/>
    </row>
    <row r="766" spans="1:2" ht="15.75" customHeight="1">
      <c r="A766" s="6"/>
      <c r="B766" s="4"/>
    </row>
    <row r="767" spans="1:2" ht="15.75" customHeight="1">
      <c r="A767" s="6"/>
      <c r="B767" s="4"/>
    </row>
    <row r="768" spans="1:2" ht="15.75" customHeight="1">
      <c r="A768" s="6"/>
      <c r="B768" s="4"/>
    </row>
    <row r="769" spans="1:2" ht="15.75" customHeight="1">
      <c r="A769" s="6"/>
      <c r="B769" s="4"/>
    </row>
    <row r="770" spans="1:2" ht="15.75" customHeight="1">
      <c r="A770" s="6"/>
      <c r="B770" s="4"/>
    </row>
    <row r="771" spans="1:2" ht="15.75" customHeight="1">
      <c r="A771" s="6"/>
      <c r="B771" s="4"/>
    </row>
    <row r="772" spans="1:2" ht="15.75" customHeight="1">
      <c r="A772" s="6"/>
      <c r="B772" s="4"/>
    </row>
    <row r="773" spans="1:2" ht="15.75" customHeight="1">
      <c r="A773" s="6"/>
      <c r="B773" s="4"/>
    </row>
    <row r="774" spans="1:2" ht="15.75" customHeight="1">
      <c r="A774" s="6"/>
      <c r="B774" s="4"/>
    </row>
    <row r="775" spans="1:2" ht="15.75" customHeight="1">
      <c r="A775" s="6"/>
      <c r="B775" s="4"/>
    </row>
    <row r="776" spans="1:2" ht="15.75" customHeight="1">
      <c r="A776" s="6"/>
      <c r="B776" s="4"/>
    </row>
    <row r="777" spans="1:2" ht="15.75" customHeight="1">
      <c r="A777" s="6"/>
      <c r="B777" s="4"/>
    </row>
    <row r="778" spans="1:2" ht="15.75" customHeight="1">
      <c r="A778" s="6"/>
      <c r="B778" s="4"/>
    </row>
    <row r="779" spans="1:2" ht="15.75" customHeight="1">
      <c r="A779" s="6"/>
      <c r="B779" s="4"/>
    </row>
    <row r="780" spans="1:2" ht="15.75" customHeight="1">
      <c r="A780" s="6"/>
      <c r="B780" s="4"/>
    </row>
    <row r="781" spans="1:2" ht="15.75" customHeight="1">
      <c r="A781" s="6"/>
      <c r="B781" s="4"/>
    </row>
    <row r="782" spans="1:2" ht="15.75" customHeight="1">
      <c r="A782" s="6"/>
      <c r="B782" s="4"/>
    </row>
    <row r="783" spans="1:2" ht="15.75" customHeight="1">
      <c r="A783" s="6"/>
      <c r="B783" s="4"/>
    </row>
    <row r="784" spans="1:2" ht="15.75" customHeight="1">
      <c r="A784" s="6"/>
      <c r="B784" s="4"/>
    </row>
    <row r="785" spans="1:2" ht="15.75" customHeight="1">
      <c r="A785" s="6"/>
      <c r="B785" s="4"/>
    </row>
    <row r="786" spans="1:2" ht="15.75" customHeight="1">
      <c r="A786" s="6"/>
      <c r="B786" s="4"/>
    </row>
    <row r="787" spans="1:2" ht="15.75" customHeight="1">
      <c r="A787" s="6"/>
      <c r="B787" s="4"/>
    </row>
    <row r="788" spans="1:2" ht="15.75" customHeight="1">
      <c r="A788" s="6"/>
      <c r="B788" s="4"/>
    </row>
    <row r="789" spans="1:2" ht="15.75" customHeight="1">
      <c r="A789" s="6"/>
      <c r="B789" s="4"/>
    </row>
    <row r="790" spans="1:2" ht="15.75" customHeight="1">
      <c r="A790" s="6"/>
      <c r="B790" s="4"/>
    </row>
    <row r="791" spans="1:2" ht="15.75" customHeight="1">
      <c r="A791" s="6"/>
      <c r="B791" s="4"/>
    </row>
    <row r="792" spans="1:2" ht="15.75" customHeight="1">
      <c r="A792" s="6"/>
      <c r="B792" s="4"/>
    </row>
    <row r="793" spans="1:2" ht="15.75" customHeight="1">
      <c r="A793" s="6"/>
      <c r="B793" s="4"/>
    </row>
    <row r="794" spans="1:2" ht="15.75" customHeight="1">
      <c r="A794" s="6"/>
      <c r="B794" s="4"/>
    </row>
    <row r="795" spans="1:2" ht="15.75" customHeight="1">
      <c r="A795" s="6"/>
      <c r="B795" s="4"/>
    </row>
    <row r="796" spans="1:2" ht="15.75" customHeight="1">
      <c r="A796" s="6"/>
      <c r="B796" s="4"/>
    </row>
    <row r="797" spans="1:2" ht="15.75" customHeight="1">
      <c r="A797" s="6"/>
      <c r="B797" s="4"/>
    </row>
    <row r="798" spans="1:2" ht="15.75" customHeight="1">
      <c r="A798" s="6"/>
      <c r="B798" s="4"/>
    </row>
    <row r="799" spans="1:2" ht="15.75" customHeight="1">
      <c r="A799" s="6"/>
      <c r="B799" s="4"/>
    </row>
    <row r="800" spans="1:2" ht="15.75" customHeight="1">
      <c r="A800" s="6"/>
      <c r="B800" s="4"/>
    </row>
    <row r="801" spans="1:2" ht="15.75" customHeight="1">
      <c r="A801" s="6"/>
      <c r="B801" s="4"/>
    </row>
    <row r="802" spans="1:2" ht="15.75" customHeight="1">
      <c r="A802" s="6"/>
      <c r="B802" s="4"/>
    </row>
    <row r="803" spans="1:2" ht="15.75" customHeight="1">
      <c r="A803" s="6"/>
      <c r="B803" s="4"/>
    </row>
    <row r="804" spans="1:2" ht="15.75" customHeight="1">
      <c r="A804" s="6"/>
      <c r="B804" s="4"/>
    </row>
    <row r="805" spans="1:2" ht="15.75" customHeight="1">
      <c r="A805" s="6"/>
      <c r="B805" s="4"/>
    </row>
    <row r="806" spans="1:2" ht="15.75" customHeight="1">
      <c r="A806" s="6"/>
      <c r="B806" s="4"/>
    </row>
    <row r="807" spans="1:2" ht="15.75" customHeight="1">
      <c r="A807" s="6"/>
      <c r="B807" s="4"/>
    </row>
    <row r="808" spans="1:2" ht="15.75" customHeight="1">
      <c r="A808" s="6"/>
      <c r="B808" s="4"/>
    </row>
    <row r="809" spans="1:2" ht="15.75" customHeight="1">
      <c r="A809" s="6"/>
      <c r="B809" s="4"/>
    </row>
    <row r="810" spans="1:2" ht="15.75" customHeight="1">
      <c r="A810" s="6"/>
      <c r="B810" s="4"/>
    </row>
    <row r="811" spans="1:2" ht="15.75" customHeight="1">
      <c r="A811" s="6"/>
      <c r="B811" s="4"/>
    </row>
    <row r="812" spans="1:2" ht="15.75" customHeight="1">
      <c r="A812" s="6"/>
      <c r="B812" s="4"/>
    </row>
    <row r="813" spans="1:2" ht="15.75" customHeight="1">
      <c r="A813" s="6"/>
      <c r="B813" s="4"/>
    </row>
    <row r="814" spans="1:2" ht="15.75" customHeight="1">
      <c r="A814" s="6"/>
      <c r="B814" s="4"/>
    </row>
    <row r="815" spans="1:2" ht="15.75" customHeight="1">
      <c r="A815" s="6"/>
      <c r="B815" s="4"/>
    </row>
    <row r="816" spans="1:2" ht="15.75" customHeight="1">
      <c r="A816" s="6"/>
      <c r="B816" s="4"/>
    </row>
    <row r="817" spans="1:2" ht="15.75" customHeight="1">
      <c r="A817" s="6"/>
      <c r="B817" s="4"/>
    </row>
    <row r="818" spans="1:2" ht="15.75" customHeight="1">
      <c r="A818" s="6"/>
      <c r="B818" s="4"/>
    </row>
    <row r="819" spans="1:2" ht="15.75" customHeight="1">
      <c r="A819" s="6"/>
      <c r="B819" s="4"/>
    </row>
    <row r="820" spans="1:2" ht="15.75" customHeight="1">
      <c r="A820" s="6"/>
      <c r="B820" s="4"/>
    </row>
    <row r="821" spans="1:2" ht="15.75" customHeight="1">
      <c r="A821" s="6"/>
      <c r="B821" s="4"/>
    </row>
    <row r="822" spans="1:2" ht="15.75" customHeight="1">
      <c r="A822" s="6"/>
      <c r="B822" s="4"/>
    </row>
    <row r="823" spans="1:2" ht="15.75" customHeight="1">
      <c r="A823" s="6"/>
      <c r="B823" s="4"/>
    </row>
    <row r="824" spans="1:2" ht="15.75" customHeight="1">
      <c r="A824" s="6"/>
      <c r="B824" s="4"/>
    </row>
    <row r="825" spans="1:2" ht="15.75" customHeight="1">
      <c r="A825" s="6"/>
      <c r="B825" s="4"/>
    </row>
    <row r="826" spans="1:2" ht="15.75" customHeight="1">
      <c r="A826" s="6"/>
      <c r="B826" s="4"/>
    </row>
    <row r="827" spans="1:2" ht="15.75" customHeight="1">
      <c r="A827" s="6"/>
      <c r="B827" s="4"/>
    </row>
    <row r="828" spans="1:2" ht="15.75" customHeight="1">
      <c r="A828" s="6"/>
      <c r="B828" s="4"/>
    </row>
    <row r="829" spans="1:2" ht="15.75" customHeight="1">
      <c r="A829" s="6"/>
      <c r="B829" s="4"/>
    </row>
    <row r="830" spans="1:2" ht="15.75" customHeight="1">
      <c r="A830" s="6"/>
      <c r="B830" s="4"/>
    </row>
    <row r="831" spans="1:2" ht="15.75" customHeight="1">
      <c r="A831" s="6"/>
      <c r="B831" s="4"/>
    </row>
    <row r="832" spans="1:2" ht="15.75" customHeight="1">
      <c r="A832" s="6"/>
      <c r="B832" s="4"/>
    </row>
    <row r="833" spans="1:2" ht="15.75" customHeight="1">
      <c r="A833" s="6"/>
      <c r="B833" s="4"/>
    </row>
    <row r="834" spans="1:2" ht="15.75" customHeight="1">
      <c r="A834" s="6"/>
      <c r="B834" s="4"/>
    </row>
    <row r="835" spans="1:2" ht="15.75" customHeight="1">
      <c r="A835" s="6"/>
      <c r="B835" s="4"/>
    </row>
    <row r="836" spans="1:2" ht="15.75" customHeight="1">
      <c r="A836" s="6"/>
      <c r="B836" s="4"/>
    </row>
    <row r="837" spans="1:2" ht="15.75" customHeight="1">
      <c r="A837" s="6"/>
      <c r="B837" s="4"/>
    </row>
    <row r="838" spans="1:2" ht="15.75" customHeight="1">
      <c r="A838" s="6"/>
      <c r="B838" s="4"/>
    </row>
    <row r="839" spans="1:2" ht="15.75" customHeight="1">
      <c r="A839" s="6"/>
      <c r="B839" s="4"/>
    </row>
    <row r="840" spans="1:2" ht="15.75" customHeight="1">
      <c r="A840" s="6"/>
      <c r="B840" s="4"/>
    </row>
    <row r="841" spans="1:2" ht="15.75" customHeight="1">
      <c r="A841" s="6"/>
      <c r="B841" s="4"/>
    </row>
    <row r="842" spans="1:2" ht="15.75" customHeight="1">
      <c r="A842" s="6"/>
      <c r="B842" s="4"/>
    </row>
    <row r="843" spans="1:2" ht="15.75" customHeight="1">
      <c r="A843" s="6"/>
      <c r="B843" s="4"/>
    </row>
    <row r="844" spans="1:2" ht="15.75" customHeight="1">
      <c r="A844" s="6"/>
      <c r="B844" s="4"/>
    </row>
    <row r="845" spans="1:2" ht="15.75" customHeight="1">
      <c r="A845" s="6"/>
      <c r="B845" s="4"/>
    </row>
    <row r="846" spans="1:2" ht="15.75" customHeight="1">
      <c r="A846" s="6"/>
      <c r="B846" s="4"/>
    </row>
    <row r="847" spans="1:2" ht="15.75" customHeight="1">
      <c r="A847" s="6"/>
      <c r="B847" s="4"/>
    </row>
    <row r="848" spans="1:2" ht="15.75" customHeight="1">
      <c r="A848" s="6"/>
      <c r="B848" s="4"/>
    </row>
    <row r="849" spans="1:2" ht="15.75" customHeight="1">
      <c r="A849" s="6"/>
      <c r="B849" s="4"/>
    </row>
    <row r="850" spans="1:2" ht="15.75" customHeight="1">
      <c r="A850" s="6"/>
      <c r="B850" s="4"/>
    </row>
    <row r="851" spans="1:2" ht="15.75" customHeight="1">
      <c r="A851" s="6"/>
      <c r="B851" s="4"/>
    </row>
    <row r="852" spans="1:2" ht="15.75" customHeight="1">
      <c r="A852" s="6"/>
      <c r="B852" s="4"/>
    </row>
    <row r="853" spans="1:2" ht="15.75" customHeight="1">
      <c r="A853" s="6"/>
      <c r="B853" s="4"/>
    </row>
    <row r="854" spans="1:2" ht="15.75" customHeight="1">
      <c r="A854" s="6"/>
      <c r="B854" s="4"/>
    </row>
    <row r="855" spans="1:2" ht="15.75" customHeight="1">
      <c r="A855" s="6"/>
      <c r="B855" s="4"/>
    </row>
    <row r="856" spans="1:2" ht="15.75" customHeight="1">
      <c r="A856" s="6"/>
      <c r="B856" s="4"/>
    </row>
    <row r="857" spans="1:2" ht="15.75" customHeight="1">
      <c r="A857" s="6"/>
      <c r="B857" s="4"/>
    </row>
    <row r="858" spans="1:2" ht="15.75" customHeight="1">
      <c r="A858" s="6"/>
      <c r="B858" s="4"/>
    </row>
    <row r="859" spans="1:2" ht="15.75" customHeight="1">
      <c r="A859" s="6"/>
      <c r="B859" s="4"/>
    </row>
    <row r="860" spans="1:2" ht="15.75" customHeight="1">
      <c r="A860" s="6"/>
      <c r="B860" s="4"/>
    </row>
    <row r="861" spans="1:2" ht="15.75" customHeight="1">
      <c r="A861" s="6"/>
      <c r="B861" s="4"/>
    </row>
    <row r="862" spans="1:2" ht="15.75" customHeight="1">
      <c r="A862" s="6"/>
      <c r="B862" s="4"/>
    </row>
    <row r="863" spans="1:2" ht="15.75" customHeight="1">
      <c r="A863" s="6"/>
      <c r="B863" s="4"/>
    </row>
    <row r="864" spans="1:2" ht="15.75" customHeight="1">
      <c r="A864" s="6"/>
      <c r="B864" s="4"/>
    </row>
    <row r="865" spans="1:2" ht="15.75" customHeight="1">
      <c r="A865" s="6"/>
      <c r="B865" s="4"/>
    </row>
    <row r="866" spans="1:2" ht="15.75" customHeight="1">
      <c r="A866" s="6"/>
      <c r="B866" s="4"/>
    </row>
    <row r="867" spans="1:2" ht="15.75" customHeight="1">
      <c r="A867" s="6"/>
      <c r="B867" s="4"/>
    </row>
    <row r="868" spans="1:2" ht="15.75" customHeight="1">
      <c r="A868" s="6"/>
      <c r="B868" s="4"/>
    </row>
    <row r="869" spans="1:2" ht="15.75" customHeight="1">
      <c r="A869" s="6"/>
      <c r="B869" s="4"/>
    </row>
    <row r="870" spans="1:2" ht="15.75" customHeight="1">
      <c r="A870" s="6"/>
      <c r="B870" s="4"/>
    </row>
    <row r="871" spans="1:2" ht="15.75" customHeight="1">
      <c r="A871" s="6"/>
      <c r="B871" s="4"/>
    </row>
    <row r="872" spans="1:2" ht="15.75" customHeight="1">
      <c r="A872" s="6"/>
      <c r="B872" s="4"/>
    </row>
    <row r="873" spans="1:2" ht="15.75" customHeight="1">
      <c r="A873" s="6"/>
      <c r="B873" s="4"/>
    </row>
    <row r="874" spans="1:2" ht="15.75" customHeight="1">
      <c r="A874" s="6"/>
      <c r="B874" s="4"/>
    </row>
    <row r="875" spans="1:2" ht="15.75" customHeight="1">
      <c r="A875" s="6"/>
      <c r="B875" s="4"/>
    </row>
    <row r="876" spans="1:2" ht="15.75" customHeight="1">
      <c r="A876" s="6"/>
      <c r="B876" s="4"/>
    </row>
    <row r="877" spans="1:2" ht="15.75" customHeight="1">
      <c r="A877" s="6"/>
      <c r="B877" s="4"/>
    </row>
    <row r="878" spans="1:2" ht="15.75" customHeight="1">
      <c r="A878" s="6"/>
      <c r="B878" s="4"/>
    </row>
    <row r="879" spans="1:2" ht="15.75" customHeight="1">
      <c r="A879" s="6"/>
      <c r="B879" s="4"/>
    </row>
    <row r="880" spans="1:2" ht="15.75" customHeight="1">
      <c r="A880" s="6"/>
      <c r="B880" s="4"/>
    </row>
    <row r="881" spans="1:2" ht="15.75" customHeight="1">
      <c r="A881" s="6"/>
      <c r="B881" s="4"/>
    </row>
    <row r="882" spans="1:2" ht="15.75" customHeight="1">
      <c r="A882" s="6"/>
      <c r="B882" s="4"/>
    </row>
    <row r="883" spans="1:2" ht="15.75" customHeight="1">
      <c r="A883" s="6"/>
      <c r="B883" s="4"/>
    </row>
    <row r="884" spans="1:2" ht="15.75" customHeight="1">
      <c r="A884" s="6"/>
      <c r="B884" s="4"/>
    </row>
    <row r="885" spans="1:2" ht="15.75" customHeight="1">
      <c r="A885" s="6"/>
      <c r="B885" s="4"/>
    </row>
    <row r="886" spans="1:2" ht="15.75" customHeight="1">
      <c r="A886" s="6"/>
      <c r="B886" s="4"/>
    </row>
    <row r="887" spans="1:2" ht="15.75" customHeight="1">
      <c r="A887" s="6"/>
      <c r="B887" s="4"/>
    </row>
    <row r="888" spans="1:2" ht="15.75" customHeight="1">
      <c r="A888" s="6"/>
      <c r="B888" s="4"/>
    </row>
    <row r="889" spans="1:2" ht="15.75" customHeight="1">
      <c r="A889" s="6"/>
      <c r="B889" s="4"/>
    </row>
    <row r="890" spans="1:2" ht="15.75" customHeight="1">
      <c r="A890" s="6"/>
      <c r="B890" s="4"/>
    </row>
    <row r="891" spans="1:2" ht="15.75" customHeight="1">
      <c r="A891" s="6"/>
      <c r="B891" s="4"/>
    </row>
    <row r="892" spans="1:2" ht="15.75" customHeight="1">
      <c r="A892" s="6"/>
      <c r="B892" s="4"/>
    </row>
    <row r="893" spans="1:2" ht="15.75" customHeight="1">
      <c r="A893" s="6"/>
      <c r="B893" s="4"/>
    </row>
    <row r="894" spans="1:2" ht="15.75" customHeight="1">
      <c r="A894" s="6"/>
      <c r="B894" s="4"/>
    </row>
    <row r="895" spans="1:2" ht="15.75" customHeight="1">
      <c r="A895" s="6"/>
      <c r="B895" s="4"/>
    </row>
    <row r="896" spans="1:2" ht="15.75" customHeight="1">
      <c r="A896" s="6"/>
      <c r="B896" s="4"/>
    </row>
    <row r="897" spans="1:2" ht="15.75" customHeight="1">
      <c r="A897" s="6"/>
      <c r="B897" s="4"/>
    </row>
    <row r="898" spans="1:2" ht="15.75" customHeight="1">
      <c r="A898" s="6"/>
      <c r="B898" s="4"/>
    </row>
    <row r="899" spans="1:2" ht="15.75" customHeight="1">
      <c r="A899" s="6"/>
      <c r="B899" s="4"/>
    </row>
    <row r="900" spans="1:2" ht="15.75" customHeight="1">
      <c r="A900" s="6"/>
      <c r="B900" s="4"/>
    </row>
    <row r="901" spans="1:2" ht="15.75" customHeight="1">
      <c r="A901" s="6"/>
      <c r="B901" s="4"/>
    </row>
    <row r="902" spans="1:2" ht="15.75" customHeight="1">
      <c r="A902" s="6"/>
      <c r="B902" s="4"/>
    </row>
    <row r="903" spans="1:2" ht="15.75" customHeight="1">
      <c r="A903" s="6"/>
      <c r="B903" s="4"/>
    </row>
    <row r="904" spans="1:2" ht="15.75" customHeight="1">
      <c r="A904" s="6"/>
      <c r="B904" s="4"/>
    </row>
    <row r="905" spans="1:2" ht="15.75" customHeight="1">
      <c r="A905" s="6"/>
      <c r="B905" s="4"/>
    </row>
    <row r="906" spans="1:2" ht="15.75" customHeight="1">
      <c r="A906" s="6"/>
      <c r="B906" s="4"/>
    </row>
    <row r="907" spans="1:2" ht="15.75" customHeight="1">
      <c r="A907" s="6"/>
      <c r="B907" s="4"/>
    </row>
    <row r="908" spans="1:2" ht="15.75" customHeight="1">
      <c r="A908" s="6"/>
      <c r="B908" s="4"/>
    </row>
    <row r="909" spans="1:2" ht="15.75" customHeight="1">
      <c r="A909" s="6"/>
      <c r="B909" s="4"/>
    </row>
    <row r="910" spans="1:2" ht="15.75" customHeight="1">
      <c r="A910" s="6"/>
      <c r="B910" s="4"/>
    </row>
    <row r="911" spans="1:2" ht="15.75" customHeight="1">
      <c r="A911" s="6"/>
      <c r="B911" s="4"/>
    </row>
    <row r="912" spans="1:2" ht="15.75" customHeight="1">
      <c r="A912" s="6"/>
      <c r="B912" s="4"/>
    </row>
    <row r="913" spans="1:2" ht="15.75" customHeight="1">
      <c r="A913" s="6"/>
      <c r="B913" s="4"/>
    </row>
    <row r="914" spans="1:2" ht="15.75" customHeight="1">
      <c r="A914" s="6"/>
      <c r="B914" s="4"/>
    </row>
    <row r="915" spans="1:2" ht="15.75" customHeight="1">
      <c r="A915" s="6"/>
      <c r="B915" s="4"/>
    </row>
    <row r="916" spans="1:2" ht="15.75" customHeight="1">
      <c r="A916" s="6"/>
      <c r="B916" s="4"/>
    </row>
    <row r="917" spans="1:2" ht="15.75" customHeight="1">
      <c r="A917" s="6"/>
      <c r="B917" s="4"/>
    </row>
    <row r="918" spans="1:2" ht="15.75" customHeight="1">
      <c r="A918" s="6"/>
      <c r="B918" s="4"/>
    </row>
    <row r="919" spans="1:2" ht="15.75" customHeight="1">
      <c r="A919" s="6"/>
      <c r="B919" s="4"/>
    </row>
    <row r="920" spans="1:2" ht="15.75" customHeight="1">
      <c r="A920" s="6"/>
      <c r="B920" s="4"/>
    </row>
    <row r="921" spans="1:2" ht="15.75" customHeight="1">
      <c r="A921" s="6"/>
      <c r="B921" s="4"/>
    </row>
    <row r="922" spans="1:2" ht="15.75" customHeight="1">
      <c r="A922" s="6"/>
      <c r="B922" s="4"/>
    </row>
    <row r="923" spans="1:2" ht="15.75" customHeight="1">
      <c r="A923" s="6"/>
      <c r="B923" s="4"/>
    </row>
    <row r="924" spans="1:2" ht="15.75" customHeight="1">
      <c r="A924" s="6"/>
      <c r="B924" s="4"/>
    </row>
    <row r="925" spans="1:2" ht="15.75" customHeight="1">
      <c r="A925" s="6"/>
      <c r="B925" s="4"/>
    </row>
    <row r="926" spans="1:2" ht="15.75" customHeight="1">
      <c r="A926" s="6"/>
      <c r="B926" s="4"/>
    </row>
    <row r="927" spans="1:2" ht="15.75" customHeight="1">
      <c r="A927" s="6"/>
      <c r="B927" s="4"/>
    </row>
    <row r="928" spans="1:2" ht="15.75" customHeight="1">
      <c r="A928" s="6"/>
      <c r="B928" s="4"/>
    </row>
    <row r="929" spans="1:2" ht="15.75" customHeight="1">
      <c r="A929" s="6"/>
      <c r="B929" s="4"/>
    </row>
    <row r="930" spans="1:2" ht="15.75" customHeight="1">
      <c r="A930" s="6"/>
      <c r="B930" s="4"/>
    </row>
    <row r="931" spans="1:2" ht="15.75" customHeight="1">
      <c r="A931" s="6"/>
      <c r="B931" s="4"/>
    </row>
    <row r="932" spans="1:2" ht="15.75" customHeight="1">
      <c r="A932" s="6"/>
      <c r="B932" s="4"/>
    </row>
    <row r="933" spans="1:2" ht="15.75" customHeight="1">
      <c r="A933" s="6"/>
      <c r="B933" s="4"/>
    </row>
    <row r="934" spans="1:2" ht="15.75" customHeight="1">
      <c r="A934" s="6"/>
      <c r="B934" s="4"/>
    </row>
    <row r="935" spans="1:2" ht="15.75" customHeight="1">
      <c r="A935" s="6"/>
      <c r="B935" s="4"/>
    </row>
    <row r="936" spans="1:2" ht="15.75" customHeight="1">
      <c r="A936" s="6"/>
      <c r="B936" s="4"/>
    </row>
    <row r="937" spans="1:2" ht="15.75" customHeight="1">
      <c r="A937" s="6"/>
      <c r="B937" s="4"/>
    </row>
    <row r="938" spans="1:2" ht="15.75" customHeight="1">
      <c r="A938" s="6"/>
      <c r="B938" s="4"/>
    </row>
    <row r="939" spans="1:2" ht="15.75" customHeight="1">
      <c r="A939" s="6"/>
      <c r="B939" s="4"/>
    </row>
    <row r="940" spans="1:2" ht="15.75" customHeight="1">
      <c r="A940" s="6"/>
      <c r="B940" s="4"/>
    </row>
    <row r="941" spans="1:2" ht="15.75" customHeight="1">
      <c r="A941" s="6"/>
      <c r="B941" s="4"/>
    </row>
    <row r="942" spans="1:2" ht="15.75" customHeight="1">
      <c r="A942" s="6"/>
      <c r="B942" s="4"/>
    </row>
    <row r="943" spans="1:2" ht="15.75" customHeight="1">
      <c r="A943" s="6"/>
      <c r="B943" s="4"/>
    </row>
    <row r="944" spans="1:2" ht="15.75" customHeight="1">
      <c r="A944" s="6"/>
      <c r="B944" s="4"/>
    </row>
    <row r="945" spans="1:2" ht="15.75" customHeight="1">
      <c r="A945" s="6"/>
      <c r="B945" s="4"/>
    </row>
    <row r="946" spans="1:2" ht="15.75" customHeight="1">
      <c r="A946" s="6"/>
      <c r="B946" s="4"/>
    </row>
    <row r="947" spans="1:2" ht="15.75" customHeight="1">
      <c r="A947" s="6"/>
      <c r="B947" s="4"/>
    </row>
    <row r="948" spans="1:2" ht="15.75" customHeight="1">
      <c r="A948" s="6"/>
      <c r="B948" s="4"/>
    </row>
    <row r="949" spans="1:2" ht="15.75" customHeight="1">
      <c r="A949" s="6"/>
      <c r="B949" s="4"/>
    </row>
    <row r="950" spans="1:2" ht="15.75" customHeight="1">
      <c r="A950" s="6"/>
      <c r="B950" s="4"/>
    </row>
    <row r="951" spans="1:2" ht="15.75" customHeight="1">
      <c r="A951" s="6"/>
      <c r="B951" s="4"/>
    </row>
    <row r="952" spans="1:2" ht="15.75" customHeight="1">
      <c r="A952" s="6"/>
      <c r="B952" s="4"/>
    </row>
    <row r="953" spans="1:2" ht="15.75" customHeight="1">
      <c r="A953" s="6"/>
      <c r="B953" s="4"/>
    </row>
    <row r="954" spans="1:2" ht="15.75" customHeight="1">
      <c r="A954" s="6"/>
      <c r="B954" s="4"/>
    </row>
    <row r="955" spans="1:2" ht="15.75" customHeight="1">
      <c r="A955" s="6"/>
      <c r="B955" s="4"/>
    </row>
    <row r="956" spans="1:2" ht="15.75" customHeight="1">
      <c r="A956" s="6"/>
      <c r="B956" s="4"/>
    </row>
    <row r="957" spans="1:2" ht="15.75" customHeight="1">
      <c r="A957" s="6"/>
      <c r="B957" s="4"/>
    </row>
    <row r="958" spans="1:2" ht="15.75" customHeight="1">
      <c r="A958" s="6"/>
      <c r="B958" s="4"/>
    </row>
    <row r="959" spans="1:2" ht="15.75" customHeight="1">
      <c r="A959" s="6"/>
      <c r="B959" s="4"/>
    </row>
    <row r="960" spans="1:2" ht="15.75" customHeight="1">
      <c r="A960" s="6"/>
      <c r="B960" s="4"/>
    </row>
    <row r="961" spans="1:2" ht="15.75" customHeight="1">
      <c r="A961" s="6"/>
      <c r="B961" s="4"/>
    </row>
    <row r="962" spans="1:2" ht="15.75" customHeight="1">
      <c r="A962" s="6"/>
      <c r="B962" s="4"/>
    </row>
    <row r="963" spans="1:2" ht="15.75" customHeight="1">
      <c r="A963" s="6"/>
      <c r="B963" s="4"/>
    </row>
    <row r="964" spans="1:2" ht="15.75" customHeight="1">
      <c r="A964" s="6"/>
      <c r="B964" s="4"/>
    </row>
    <row r="965" spans="1:2" ht="15.75" customHeight="1">
      <c r="A965" s="6"/>
      <c r="B965" s="4"/>
    </row>
    <row r="966" spans="1:2" ht="15.75" customHeight="1">
      <c r="A966" s="6"/>
      <c r="B966" s="4"/>
    </row>
    <row r="967" spans="1:2" ht="15.75" customHeight="1">
      <c r="A967" s="6"/>
      <c r="B967" s="4"/>
    </row>
    <row r="968" spans="1:2" ht="15.75" customHeight="1">
      <c r="A968" s="6"/>
      <c r="B968" s="4"/>
    </row>
    <row r="969" spans="1:2" ht="15.75" customHeight="1">
      <c r="A969" s="6"/>
      <c r="B969" s="4"/>
    </row>
    <row r="970" spans="1:2" ht="15.75" customHeight="1">
      <c r="A970" s="6"/>
      <c r="B970" s="4"/>
    </row>
    <row r="971" spans="1:2" ht="15.75" customHeight="1">
      <c r="A971" s="6"/>
      <c r="B971" s="4"/>
    </row>
    <row r="972" spans="1:2" ht="15.75" customHeight="1">
      <c r="A972" s="6"/>
      <c r="B972" s="4"/>
    </row>
    <row r="973" spans="1:2" ht="15.75" customHeight="1">
      <c r="A973" s="6"/>
      <c r="B973" s="4"/>
    </row>
    <row r="974" spans="1:2" ht="15.75" customHeight="1">
      <c r="A974" s="6"/>
      <c r="B974" s="4"/>
    </row>
    <row r="975" spans="1:2" ht="15.75" customHeight="1">
      <c r="A975" s="6"/>
      <c r="B975" s="4"/>
    </row>
    <row r="976" spans="1:2" ht="15.75" customHeight="1">
      <c r="A976" s="6"/>
      <c r="B976" s="4"/>
    </row>
    <row r="977" spans="1:2" ht="15.75" customHeight="1">
      <c r="A977" s="6"/>
      <c r="B977" s="4"/>
    </row>
    <row r="978" spans="1:2" ht="15.75" customHeight="1">
      <c r="A978" s="6"/>
      <c r="B978" s="4"/>
    </row>
    <row r="979" spans="1:2" ht="15.75" customHeight="1">
      <c r="A979" s="6"/>
      <c r="B979" s="4"/>
    </row>
    <row r="980" spans="1:2" ht="15.75" customHeight="1">
      <c r="A980" s="6"/>
      <c r="B980" s="4"/>
    </row>
    <row r="981" spans="1:2" ht="15.75" customHeight="1">
      <c r="A981" s="6"/>
      <c r="B981" s="4"/>
    </row>
    <row r="982" spans="1:2" ht="15.75" customHeight="1">
      <c r="A982" s="6"/>
      <c r="B982" s="4"/>
    </row>
    <row r="983" spans="1:2" ht="15.75" customHeight="1">
      <c r="A983" s="6"/>
      <c r="B983" s="4"/>
    </row>
    <row r="984" spans="1:2" ht="15.75" customHeight="1">
      <c r="A984" s="6"/>
      <c r="B984" s="4"/>
    </row>
    <row r="985" spans="1:2" ht="15.75" customHeight="1">
      <c r="A985" s="6"/>
      <c r="B985" s="4"/>
    </row>
    <row r="986" spans="1:2" ht="15.75" customHeight="1">
      <c r="A986" s="6"/>
      <c r="B986" s="4"/>
    </row>
    <row r="987" spans="1:2" ht="15.75" customHeight="1">
      <c r="A987" s="6"/>
      <c r="B987" s="4"/>
    </row>
    <row r="988" spans="1:2" ht="15.75" customHeight="1">
      <c r="A988" s="6"/>
      <c r="B988" s="4"/>
    </row>
    <row r="989" spans="1:2" ht="15.75" customHeight="1">
      <c r="A989" s="6"/>
      <c r="B989" s="4"/>
    </row>
    <row r="990" spans="1:2" ht="15.75" customHeight="1">
      <c r="A990" s="6"/>
      <c r="B990" s="4"/>
    </row>
    <row r="991" spans="1:2" ht="15.75" customHeight="1">
      <c r="A991" s="6"/>
      <c r="B991" s="4"/>
    </row>
    <row r="992" spans="1:2" ht="15.75" customHeight="1">
      <c r="A992" s="6"/>
      <c r="B992" s="4"/>
    </row>
    <row r="993" spans="1:2" ht="15.75" customHeight="1">
      <c r="A993" s="6"/>
      <c r="B993" s="4"/>
    </row>
    <row r="994" spans="1:2" ht="15.75" customHeight="1">
      <c r="A994" s="6"/>
      <c r="B994" s="4"/>
    </row>
    <row r="995" spans="1:2" ht="15.75" customHeight="1">
      <c r="A995" s="6"/>
      <c r="B995" s="4"/>
    </row>
    <row r="996" spans="1:2" ht="15.75" customHeight="1">
      <c r="A996" s="6"/>
      <c r="B996" s="4"/>
    </row>
    <row r="997" spans="1:2" ht="15.75" customHeight="1">
      <c r="A997" s="6"/>
      <c r="B997" s="4"/>
    </row>
    <row r="998" spans="1:2" ht="15.75" customHeight="1">
      <c r="A998" s="6"/>
      <c r="B998" s="4"/>
    </row>
    <row r="999" spans="1:2" ht="15.75" customHeight="1">
      <c r="A999" s="6"/>
      <c r="B999" s="4"/>
    </row>
  </sheetData>
  <mergeCells count="27">
    <mergeCell ref="A2:E2"/>
    <mergeCell ref="A1:E1"/>
    <mergeCell ref="A3:A4"/>
    <mergeCell ref="B3:B4"/>
    <mergeCell ref="C3:D3"/>
    <mergeCell ref="E3:F3"/>
    <mergeCell ref="I3:I4"/>
    <mergeCell ref="L3:L4"/>
    <mergeCell ref="M3:M4"/>
    <mergeCell ref="J3:K3"/>
    <mergeCell ref="N3:N4"/>
    <mergeCell ref="P1:U2"/>
    <mergeCell ref="V1:AC2"/>
    <mergeCell ref="V3:AC3"/>
    <mergeCell ref="H3:H4"/>
    <mergeCell ref="AW3:AW4"/>
    <mergeCell ref="P3:T3"/>
    <mergeCell ref="U3:U4"/>
    <mergeCell ref="AO3:AO4"/>
    <mergeCell ref="AE3:AE4"/>
    <mergeCell ref="AP3:AU3"/>
    <mergeCell ref="AV3:AV4"/>
    <mergeCell ref="AM3:AN3"/>
    <mergeCell ref="O3:O4"/>
    <mergeCell ref="AD3:AD4"/>
    <mergeCell ref="AF3:AK3"/>
    <mergeCell ref="AL3:AL4"/>
  </mergeCells>
  <conditionalFormatting sqref="U5:U60 AD5:AE60 AL5:AL60 AV5:AV60">
    <cfRule type="cellIs" dxfId="4" priority="6" operator="greaterThan">
      <formula>100%</formula>
    </cfRule>
  </conditionalFormatting>
  <conditionalFormatting sqref="AO5:AO60">
    <cfRule type="cellIs" dxfId="3" priority="2" operator="greaterThan">
      <formula>1</formula>
    </cfRule>
  </conditionalFormatting>
  <dataValidations count="3">
    <dataValidation type="decimal" operator="greaterThanOrEqual" allowBlank="1" showErrorMessage="1" sqref="AM5:AN5 L5:N48 L47:L49" xr:uid="{00000000-0002-0000-0100-000005000000}">
      <formula1>0</formula1>
    </dataValidation>
    <dataValidation type="list" allowBlank="1" showErrorMessage="1" sqref="H5:H60" xr:uid="{0EF5A5CC-6EA2-4253-AB0B-9012B4F9D0E4}">
      <formula1>"Office,Remote,Hybrid"</formula1>
    </dataValidation>
    <dataValidation type="decimal" allowBlank="1" showErrorMessage="1" sqref="I5:K48 C5:F48 G5:G51" xr:uid="{00000000-0002-0000-0100-000001000000}">
      <formula1>0</formula1>
      <formula2>1</formula2>
    </dataValidation>
  </dataValidations>
  <pageMargins left="0.5" right="0.5" top="0.5" bottom="0.5" header="0" footer="0"/>
  <pageSetup orientation="landscape" r:id="rId1"/>
  <headerFooter>
    <oddHeader>&amp;L&amp;"Calibri,Regular"&amp;K0000002022 LHD Workforce Assessment</oddHeader>
    <oddFooter>&amp;R&amp;"Calibri,Regular"&amp;K000000&amp;P/&amp;N</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100-00000A000000}">
          <x14:formula1>
            <xm:f>'Instructions &amp; Options'!$B$4:$B$51</xm:f>
          </x14:formula1>
          <xm:sqref>AJ5:AJ51 AF5:AF60 AH5:AH60</xm:sqref>
        </x14:dataValidation>
        <x14:dataValidation type="list" allowBlank="1" showErrorMessage="1" xr:uid="{EA386831-951A-4DCF-9F85-AD3E92B20417}">
          <x14:formula1>
            <xm:f>'Instructions &amp; Options'!$C$4:$C$15</xm:f>
          </x14:formula1>
          <xm:sqref>AP5:AP60 AR5:AR60 AT5:AT60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998"/>
  <sheetViews>
    <sheetView workbookViewId="0">
      <pane xSplit="2" topLeftCell="C1" activePane="topRight" state="frozen"/>
      <selection pane="topRight" activeCell="AM5" sqref="AM5"/>
    </sheetView>
  </sheetViews>
  <sheetFormatPr defaultColWidth="11.09765625" defaultRowHeight="15" customHeight="1"/>
  <cols>
    <col min="1" max="1" width="3.59765625" customWidth="1"/>
    <col min="2" max="2" width="25.59765625" customWidth="1"/>
    <col min="3" max="3" width="21.5" customWidth="1"/>
    <col min="4" max="4" width="10.09765625" customWidth="1"/>
    <col min="5" max="5" width="9.59765625" customWidth="1"/>
    <col min="6" max="6" width="6" customWidth="1"/>
    <col min="7" max="9" width="5.59765625" customWidth="1"/>
    <col min="10" max="11" width="7.5" customWidth="1"/>
    <col min="12" max="13" width="8.3984375" customWidth="1"/>
    <col min="14" max="14" width="9.09765625" customWidth="1"/>
    <col min="15" max="15" width="10.3984375" customWidth="1"/>
    <col min="16" max="16" width="12" customWidth="1"/>
    <col min="17" max="17" width="10.59765625" customWidth="1"/>
    <col min="18" max="18" width="9.5" customWidth="1"/>
    <col min="19" max="19" width="10.59765625" customWidth="1"/>
    <col min="20" max="20" width="9.8984375" customWidth="1"/>
    <col min="21" max="21" width="10.59765625" customWidth="1"/>
    <col min="22" max="22" width="8" customWidth="1"/>
    <col min="23" max="23" width="10.59765625" customWidth="1"/>
    <col min="24" max="24" width="8.09765625" customWidth="1"/>
    <col min="25" max="25" width="9.09765625" customWidth="1"/>
    <col min="26" max="26" width="6.5" customWidth="1"/>
    <col min="27" max="27" width="9.59765625" customWidth="1"/>
    <col min="28" max="28" width="10.59765625" customWidth="1"/>
    <col min="29" max="29" width="10.5" customWidth="1"/>
    <col min="30" max="30" width="10.59765625" customWidth="1"/>
    <col min="31" max="31" width="5.3984375" customWidth="1"/>
    <col min="32" max="32" width="10.59765625" customWidth="1"/>
    <col min="33" max="33" width="11.5" customWidth="1"/>
    <col min="34" max="34" width="8.59765625" customWidth="1"/>
    <col min="35" max="36" width="10.09765625" customWidth="1"/>
    <col min="37" max="43" width="10.59765625" customWidth="1"/>
    <col min="44" max="44" width="9.09765625" customWidth="1"/>
    <col min="45" max="45" width="9.59765625" customWidth="1"/>
    <col min="46" max="46" width="10.5" customWidth="1"/>
    <col min="47" max="47" width="8.59765625" customWidth="1"/>
    <col min="48" max="48" width="9.09765625" customWidth="1"/>
    <col min="49" max="49" width="9.5" customWidth="1"/>
    <col min="50" max="50" width="9.09765625" customWidth="1"/>
    <col min="51" max="51" width="10.5" customWidth="1"/>
    <col min="52" max="52" width="9.59765625" customWidth="1"/>
    <col min="53" max="53" width="9.09765625" customWidth="1"/>
    <col min="54" max="54" width="80.09765625" customWidth="1"/>
    <col min="55" max="55" width="10.59765625" customWidth="1"/>
  </cols>
  <sheetData>
    <row r="1" spans="1:54" ht="16.5" customHeight="1" thickBot="1">
      <c r="A1" s="247" t="s">
        <v>57</v>
      </c>
      <c r="B1" s="248"/>
      <c r="C1" s="46"/>
      <c r="D1" s="46"/>
      <c r="E1" s="47"/>
      <c r="F1" s="225"/>
      <c r="G1" s="226"/>
      <c r="H1" s="226"/>
      <c r="I1" s="226"/>
      <c r="J1" s="226"/>
      <c r="K1" s="226"/>
      <c r="L1" s="226"/>
      <c r="M1" s="226"/>
      <c r="N1" s="226"/>
      <c r="O1" s="226"/>
      <c r="P1" s="226"/>
      <c r="Q1" s="226"/>
      <c r="R1" s="226"/>
      <c r="S1" s="226"/>
      <c r="T1" s="226"/>
      <c r="U1" s="161" t="s">
        <v>58</v>
      </c>
      <c r="V1" s="162"/>
      <c r="W1" s="162"/>
      <c r="X1" s="162"/>
      <c r="Y1" s="162"/>
      <c r="Z1" s="163"/>
      <c r="AA1" s="246" t="s">
        <v>58</v>
      </c>
      <c r="AB1" s="162"/>
      <c r="AC1" s="162"/>
      <c r="AD1" s="162"/>
      <c r="AE1" s="162"/>
      <c r="AF1" s="162"/>
      <c r="AG1" s="162"/>
      <c r="AH1" s="162"/>
      <c r="AI1" s="163"/>
      <c r="AJ1" s="108"/>
      <c r="AK1" s="46"/>
      <c r="AL1" s="46"/>
      <c r="AM1" s="46"/>
      <c r="AN1" s="46"/>
      <c r="AO1" s="46"/>
      <c r="AP1" s="46"/>
      <c r="AQ1" s="46"/>
      <c r="AR1" s="4" t="s">
        <v>56</v>
      </c>
      <c r="AS1" s="4"/>
      <c r="AT1" s="3"/>
      <c r="AU1" s="4"/>
      <c r="AV1" s="4"/>
      <c r="AW1" s="4"/>
      <c r="AX1" s="4"/>
      <c r="AY1" s="4"/>
      <c r="AZ1" s="4"/>
      <c r="BA1" s="4"/>
      <c r="BB1" s="46"/>
    </row>
    <row r="2" spans="1:54" ht="15.75" customHeight="1" thickBot="1">
      <c r="A2" s="249"/>
      <c r="B2" s="248"/>
      <c r="C2" s="250" t="s">
        <v>59</v>
      </c>
      <c r="D2" s="248"/>
      <c r="E2" s="49"/>
      <c r="F2" s="49"/>
      <c r="G2" s="49"/>
      <c r="H2" s="49"/>
      <c r="I2" s="49"/>
      <c r="J2" s="50"/>
      <c r="K2" s="50"/>
      <c r="L2" s="48"/>
      <c r="M2" s="48"/>
      <c r="N2" s="48"/>
      <c r="O2" s="48"/>
      <c r="P2" s="48"/>
      <c r="Q2" s="46"/>
      <c r="R2" s="46"/>
      <c r="S2" s="46"/>
      <c r="T2" s="46"/>
      <c r="U2" s="164"/>
      <c r="V2" s="165"/>
      <c r="W2" s="165"/>
      <c r="X2" s="165"/>
      <c r="Y2" s="165"/>
      <c r="Z2" s="229"/>
      <c r="AA2" s="164"/>
      <c r="AB2" s="165"/>
      <c r="AC2" s="165"/>
      <c r="AD2" s="165"/>
      <c r="AE2" s="165"/>
      <c r="AF2" s="165"/>
      <c r="AG2" s="165"/>
      <c r="AH2" s="165"/>
      <c r="AI2" s="229"/>
      <c r="AJ2" s="108"/>
      <c r="AK2" s="223" t="s">
        <v>167</v>
      </c>
      <c r="AL2" s="162"/>
      <c r="AM2" s="162"/>
      <c r="AN2" s="162"/>
      <c r="AO2" s="162"/>
      <c r="AP2" s="163"/>
      <c r="AQ2" s="220" t="s">
        <v>73</v>
      </c>
      <c r="AR2" s="4"/>
      <c r="AS2" s="4"/>
      <c r="AT2" s="4"/>
      <c r="AU2" s="4"/>
      <c r="AV2" s="4"/>
      <c r="AW2" s="4"/>
      <c r="AX2" s="4"/>
      <c r="AY2" s="4"/>
      <c r="AZ2" s="4"/>
      <c r="BA2" s="3"/>
      <c r="BB2" s="233" t="s">
        <v>60</v>
      </c>
    </row>
    <row r="3" spans="1:54" ht="129" customHeight="1" thickBot="1">
      <c r="A3" s="235" t="s">
        <v>22</v>
      </c>
      <c r="B3" s="237" t="s">
        <v>61</v>
      </c>
      <c r="C3" s="238" t="s">
        <v>62</v>
      </c>
      <c r="D3" s="239" t="s">
        <v>63</v>
      </c>
      <c r="E3" s="240" t="s">
        <v>64</v>
      </c>
      <c r="F3" s="241" t="s">
        <v>65</v>
      </c>
      <c r="G3" s="242"/>
      <c r="H3" s="243" t="s">
        <v>66</v>
      </c>
      <c r="I3" s="242"/>
      <c r="J3" s="51" t="s">
        <v>26</v>
      </c>
      <c r="K3" s="231" t="s">
        <v>156</v>
      </c>
      <c r="L3" s="194" t="s">
        <v>151</v>
      </c>
      <c r="M3" s="200" t="s">
        <v>152</v>
      </c>
      <c r="N3" s="201"/>
      <c r="O3" s="244" t="s">
        <v>67</v>
      </c>
      <c r="P3" s="198" t="s">
        <v>68</v>
      </c>
      <c r="Q3" s="245" t="s">
        <v>69</v>
      </c>
      <c r="R3" s="171"/>
      <c r="S3" s="227" t="s">
        <v>70</v>
      </c>
      <c r="T3" s="228" t="s">
        <v>71</v>
      </c>
      <c r="U3" s="230" t="s">
        <v>165</v>
      </c>
      <c r="V3" s="170"/>
      <c r="W3" s="170"/>
      <c r="X3" s="170"/>
      <c r="Y3" s="170"/>
      <c r="Z3" s="224" t="s">
        <v>72</v>
      </c>
      <c r="AA3" s="217" t="s">
        <v>166</v>
      </c>
      <c r="AB3" s="170"/>
      <c r="AC3" s="170"/>
      <c r="AD3" s="170"/>
      <c r="AE3" s="170"/>
      <c r="AF3" s="170"/>
      <c r="AG3" s="170"/>
      <c r="AH3" s="170"/>
      <c r="AI3" s="218" t="s">
        <v>73</v>
      </c>
      <c r="AJ3" s="218" t="s">
        <v>73</v>
      </c>
      <c r="AK3" s="168"/>
      <c r="AL3" s="165"/>
      <c r="AM3" s="165"/>
      <c r="AN3" s="165"/>
      <c r="AO3" s="165"/>
      <c r="AP3" s="166"/>
      <c r="AQ3" s="221"/>
      <c r="AR3" s="186" t="s">
        <v>161</v>
      </c>
      <c r="AS3" s="187"/>
      <c r="AT3" s="215" t="s">
        <v>169</v>
      </c>
      <c r="AU3" s="182" t="s">
        <v>168</v>
      </c>
      <c r="AV3" s="183"/>
      <c r="AW3" s="183"/>
      <c r="AX3" s="183"/>
      <c r="AY3" s="183"/>
      <c r="AZ3" s="183"/>
      <c r="BA3" s="184" t="s">
        <v>145</v>
      </c>
      <c r="BB3" s="234"/>
    </row>
    <row r="4" spans="1:54" ht="75.75" customHeight="1" thickBot="1">
      <c r="A4" s="236"/>
      <c r="B4" s="199"/>
      <c r="C4" s="177"/>
      <c r="D4" s="236"/>
      <c r="E4" s="199"/>
      <c r="F4" s="52" t="s">
        <v>33</v>
      </c>
      <c r="G4" s="53" t="s">
        <v>34</v>
      </c>
      <c r="H4" s="54" t="s">
        <v>33</v>
      </c>
      <c r="I4" s="53" t="s">
        <v>34</v>
      </c>
      <c r="J4" s="53" t="s">
        <v>35</v>
      </c>
      <c r="K4" s="232"/>
      <c r="L4" s="195"/>
      <c r="M4" s="106" t="s">
        <v>131</v>
      </c>
      <c r="N4" s="107" t="s">
        <v>132</v>
      </c>
      <c r="O4" s="236"/>
      <c r="P4" s="199"/>
      <c r="Q4" s="55" t="s">
        <v>74</v>
      </c>
      <c r="R4" s="56" t="s">
        <v>75</v>
      </c>
      <c r="S4" s="175"/>
      <c r="T4" s="199"/>
      <c r="U4" s="57" t="s">
        <v>36</v>
      </c>
      <c r="V4" s="58" t="s">
        <v>37</v>
      </c>
      <c r="W4" s="58" t="s">
        <v>38</v>
      </c>
      <c r="X4" s="58" t="s">
        <v>39</v>
      </c>
      <c r="Y4" s="112" t="s">
        <v>40</v>
      </c>
      <c r="Z4" s="219"/>
      <c r="AA4" s="113" t="s">
        <v>41</v>
      </c>
      <c r="AB4" s="59" t="s">
        <v>42</v>
      </c>
      <c r="AC4" s="59" t="s">
        <v>43</v>
      </c>
      <c r="AD4" s="59" t="s">
        <v>44</v>
      </c>
      <c r="AE4" s="59" t="s">
        <v>45</v>
      </c>
      <c r="AF4" s="59" t="s">
        <v>46</v>
      </c>
      <c r="AG4" s="59" t="s">
        <v>47</v>
      </c>
      <c r="AH4" s="111" t="s">
        <v>48</v>
      </c>
      <c r="AI4" s="219"/>
      <c r="AJ4" s="219"/>
      <c r="AK4" s="61" t="s">
        <v>49</v>
      </c>
      <c r="AL4" s="60" t="s">
        <v>50</v>
      </c>
      <c r="AM4" s="61" t="s">
        <v>51</v>
      </c>
      <c r="AN4" s="60" t="s">
        <v>50</v>
      </c>
      <c r="AO4" s="62" t="s">
        <v>52</v>
      </c>
      <c r="AP4" s="63" t="s">
        <v>50</v>
      </c>
      <c r="AQ4" s="222"/>
      <c r="AR4" s="103" t="s">
        <v>54</v>
      </c>
      <c r="AS4" s="94" t="s">
        <v>55</v>
      </c>
      <c r="AT4" s="216"/>
      <c r="AU4" s="119" t="s">
        <v>135</v>
      </c>
      <c r="AV4" s="120" t="s">
        <v>134</v>
      </c>
      <c r="AW4" s="119" t="s">
        <v>136</v>
      </c>
      <c r="AX4" s="120" t="s">
        <v>134</v>
      </c>
      <c r="AY4" s="119" t="s">
        <v>137</v>
      </c>
      <c r="AZ4" s="120" t="s">
        <v>134</v>
      </c>
      <c r="BA4" s="185"/>
      <c r="BB4" s="177"/>
    </row>
    <row r="5" spans="1:54" ht="15.6">
      <c r="A5" s="69">
        <v>2</v>
      </c>
      <c r="B5" s="70"/>
      <c r="C5" s="33"/>
      <c r="D5" s="33"/>
      <c r="E5" s="33"/>
      <c r="F5" s="71"/>
      <c r="G5" s="71"/>
      <c r="H5" s="71"/>
      <c r="I5" s="71"/>
      <c r="J5" s="132"/>
      <c r="K5" s="71"/>
      <c r="L5" s="71"/>
      <c r="M5" s="71"/>
      <c r="N5" s="71"/>
      <c r="O5" s="72"/>
      <c r="P5" s="72"/>
      <c r="Q5" s="73"/>
      <c r="R5" s="74" t="s">
        <v>56</v>
      </c>
      <c r="S5" s="73"/>
      <c r="T5" s="97"/>
      <c r="U5" s="64"/>
      <c r="V5" s="64"/>
      <c r="W5" s="64"/>
      <c r="X5" s="64"/>
      <c r="Y5" s="64"/>
      <c r="Z5" s="65">
        <f t="shared" ref="Z5:Z24" si="0">SUM(U5:Y5)</f>
        <v>0</v>
      </c>
      <c r="AA5" s="66"/>
      <c r="AB5" s="66"/>
      <c r="AC5" s="66"/>
      <c r="AD5" s="66"/>
      <c r="AE5" s="66"/>
      <c r="AF5" s="66"/>
      <c r="AG5" s="66"/>
      <c r="AH5" s="66"/>
      <c r="AI5" s="65">
        <f t="shared" ref="AI5:AI24" si="1">SUM(AA5:AH5)</f>
        <v>0</v>
      </c>
      <c r="AJ5" s="110">
        <f t="shared" ref="AJ5:AJ24" si="2">AI5+Z5</f>
        <v>0</v>
      </c>
      <c r="AK5" s="75"/>
      <c r="AL5" s="67"/>
      <c r="AM5" s="75"/>
      <c r="AN5" s="68"/>
      <c r="AO5" s="75"/>
      <c r="AP5" s="68"/>
      <c r="AQ5" s="109">
        <f t="shared" ref="AQ5:AQ24" si="3">SUM(AK5,AM5,AO5)</f>
        <v>0</v>
      </c>
      <c r="AR5" s="30"/>
      <c r="AS5" s="95"/>
      <c r="AT5" s="116"/>
      <c r="AU5" s="117"/>
      <c r="AV5" s="118"/>
      <c r="AW5" s="117"/>
      <c r="AX5" s="118"/>
      <c r="AY5" s="117"/>
      <c r="AZ5" s="124"/>
      <c r="BA5" s="104">
        <f>SUM(AZ5,AX5,AV5)</f>
        <v>0</v>
      </c>
      <c r="BB5" s="76"/>
    </row>
    <row r="6" spans="1:54" ht="15.6">
      <c r="A6" s="69">
        <v>3</v>
      </c>
      <c r="B6" s="70"/>
      <c r="C6" s="33"/>
      <c r="D6" s="33"/>
      <c r="E6" s="33"/>
      <c r="F6" s="71"/>
      <c r="G6" s="71"/>
      <c r="H6" s="71"/>
      <c r="I6" s="71"/>
      <c r="J6" s="132"/>
      <c r="K6" s="71"/>
      <c r="L6" s="71"/>
      <c r="M6" s="71"/>
      <c r="N6" s="71"/>
      <c r="O6" s="72"/>
      <c r="P6" s="72"/>
      <c r="Q6" s="73"/>
      <c r="R6" s="74" t="s">
        <v>56</v>
      </c>
      <c r="S6" s="73"/>
      <c r="T6" s="97"/>
      <c r="U6" s="64"/>
      <c r="V6" s="64"/>
      <c r="W6" s="64"/>
      <c r="X6" s="64"/>
      <c r="Y6" s="64"/>
      <c r="Z6" s="65">
        <f t="shared" si="0"/>
        <v>0</v>
      </c>
      <c r="AA6" s="66"/>
      <c r="AB6" s="66"/>
      <c r="AC6" s="66"/>
      <c r="AD6" s="66"/>
      <c r="AE6" s="66"/>
      <c r="AF6" s="66"/>
      <c r="AG6" s="66"/>
      <c r="AH6" s="66"/>
      <c r="AI6" s="65">
        <f t="shared" si="1"/>
        <v>0</v>
      </c>
      <c r="AJ6" s="110">
        <f t="shared" si="2"/>
        <v>0</v>
      </c>
      <c r="AK6" s="75"/>
      <c r="AL6" s="67"/>
      <c r="AM6" s="75"/>
      <c r="AN6" s="68"/>
      <c r="AO6" s="75"/>
      <c r="AP6" s="68"/>
      <c r="AQ6" s="109">
        <f t="shared" si="3"/>
        <v>0</v>
      </c>
      <c r="AR6" s="43"/>
      <c r="AS6" s="96"/>
      <c r="AT6" s="114"/>
      <c r="AU6" s="117"/>
      <c r="AV6" s="115"/>
      <c r="AW6" s="117"/>
      <c r="AX6" s="121"/>
      <c r="AY6" s="117"/>
      <c r="AZ6" s="123"/>
      <c r="BA6" s="101">
        <f t="shared" ref="BA6:BA24" si="4">SUM(AZ6,AX6,AV6)</f>
        <v>0</v>
      </c>
      <c r="BB6" s="76"/>
    </row>
    <row r="7" spans="1:54" ht="15.6">
      <c r="A7" s="69">
        <v>4</v>
      </c>
      <c r="B7" s="70"/>
      <c r="C7" s="33"/>
      <c r="D7" s="33"/>
      <c r="E7" s="33"/>
      <c r="F7" s="71"/>
      <c r="G7" s="71"/>
      <c r="H7" s="71"/>
      <c r="I7" s="71"/>
      <c r="J7" s="132"/>
      <c r="K7" s="71"/>
      <c r="L7" s="71"/>
      <c r="M7" s="71"/>
      <c r="N7" s="71"/>
      <c r="O7" s="72"/>
      <c r="P7" s="72"/>
      <c r="Q7" s="73"/>
      <c r="R7" s="74" t="s">
        <v>56</v>
      </c>
      <c r="S7" s="73"/>
      <c r="T7" s="97"/>
      <c r="U7" s="64"/>
      <c r="V7" s="64"/>
      <c r="W7" s="64"/>
      <c r="X7" s="64"/>
      <c r="Y7" s="64"/>
      <c r="Z7" s="65">
        <f t="shared" si="0"/>
        <v>0</v>
      </c>
      <c r="AA7" s="66"/>
      <c r="AB7" s="66"/>
      <c r="AC7" s="66"/>
      <c r="AD7" s="66"/>
      <c r="AE7" s="66"/>
      <c r="AF7" s="66"/>
      <c r="AG7" s="66"/>
      <c r="AH7" s="66"/>
      <c r="AI7" s="65">
        <f t="shared" si="1"/>
        <v>0</v>
      </c>
      <c r="AJ7" s="110">
        <f t="shared" si="2"/>
        <v>0</v>
      </c>
      <c r="AK7" s="75"/>
      <c r="AL7" s="67"/>
      <c r="AM7" s="75"/>
      <c r="AN7" s="68"/>
      <c r="AO7" s="75"/>
      <c r="AP7" s="68"/>
      <c r="AQ7" s="109">
        <f t="shared" si="3"/>
        <v>0</v>
      </c>
      <c r="AR7" s="43"/>
      <c r="AS7" s="96"/>
      <c r="AT7" s="114"/>
      <c r="AU7" s="117"/>
      <c r="AV7" s="115"/>
      <c r="AW7" s="117"/>
      <c r="AX7" s="122"/>
      <c r="AY7" s="117"/>
      <c r="AZ7" s="123"/>
      <c r="BA7" s="101">
        <f t="shared" si="4"/>
        <v>0</v>
      </c>
      <c r="BB7" s="76"/>
    </row>
    <row r="8" spans="1:54" ht="15.6">
      <c r="A8" s="69">
        <v>5</v>
      </c>
      <c r="B8" s="70"/>
      <c r="C8" s="33"/>
      <c r="D8" s="33"/>
      <c r="E8" s="33"/>
      <c r="F8" s="71"/>
      <c r="G8" s="71"/>
      <c r="H8" s="71"/>
      <c r="I8" s="71"/>
      <c r="J8" s="132"/>
      <c r="K8" s="71"/>
      <c r="L8" s="71"/>
      <c r="M8" s="71"/>
      <c r="N8" s="71"/>
      <c r="O8" s="72"/>
      <c r="P8" s="72"/>
      <c r="Q8" s="73"/>
      <c r="R8" s="74" t="s">
        <v>56</v>
      </c>
      <c r="S8" s="73"/>
      <c r="T8" s="97"/>
      <c r="U8" s="64"/>
      <c r="V8" s="64"/>
      <c r="W8" s="64"/>
      <c r="X8" s="64"/>
      <c r="Y8" s="64"/>
      <c r="Z8" s="65">
        <f t="shared" si="0"/>
        <v>0</v>
      </c>
      <c r="AA8" s="66"/>
      <c r="AB8" s="66"/>
      <c r="AC8" s="66"/>
      <c r="AD8" s="66"/>
      <c r="AE8" s="66"/>
      <c r="AF8" s="66"/>
      <c r="AG8" s="66"/>
      <c r="AH8" s="66"/>
      <c r="AI8" s="65">
        <f t="shared" si="1"/>
        <v>0</v>
      </c>
      <c r="AJ8" s="110">
        <f t="shared" si="2"/>
        <v>0</v>
      </c>
      <c r="AK8" s="75"/>
      <c r="AL8" s="67"/>
      <c r="AM8" s="75"/>
      <c r="AN8" s="68"/>
      <c r="AO8" s="75"/>
      <c r="AP8" s="68"/>
      <c r="AQ8" s="109">
        <f t="shared" si="3"/>
        <v>0</v>
      </c>
      <c r="AR8" s="43"/>
      <c r="AS8" s="96"/>
      <c r="AT8" s="114"/>
      <c r="AU8" s="117"/>
      <c r="AV8" s="115"/>
      <c r="AW8" s="117"/>
      <c r="AX8" s="122"/>
      <c r="AY8" s="117"/>
      <c r="AZ8" s="123"/>
      <c r="BA8" s="101">
        <f t="shared" si="4"/>
        <v>0</v>
      </c>
      <c r="BB8" s="76"/>
    </row>
    <row r="9" spans="1:54" ht="15.6">
      <c r="A9" s="69">
        <v>6</v>
      </c>
      <c r="B9" s="70"/>
      <c r="C9" s="33"/>
      <c r="D9" s="33"/>
      <c r="E9" s="33"/>
      <c r="F9" s="71"/>
      <c r="G9" s="71"/>
      <c r="H9" s="71"/>
      <c r="I9" s="71"/>
      <c r="J9" s="132"/>
      <c r="K9" s="71"/>
      <c r="L9" s="71"/>
      <c r="M9" s="71"/>
      <c r="N9" s="71"/>
      <c r="O9" s="72"/>
      <c r="P9" s="72"/>
      <c r="Q9" s="73"/>
      <c r="R9" s="74" t="s">
        <v>56</v>
      </c>
      <c r="S9" s="73"/>
      <c r="T9" s="97"/>
      <c r="U9" s="64"/>
      <c r="V9" s="64"/>
      <c r="W9" s="64"/>
      <c r="X9" s="64"/>
      <c r="Y9" s="64"/>
      <c r="Z9" s="65">
        <f t="shared" si="0"/>
        <v>0</v>
      </c>
      <c r="AA9" s="66"/>
      <c r="AB9" s="66"/>
      <c r="AC9" s="66"/>
      <c r="AD9" s="66"/>
      <c r="AE9" s="66"/>
      <c r="AF9" s="66"/>
      <c r="AG9" s="66"/>
      <c r="AH9" s="66"/>
      <c r="AI9" s="65">
        <f t="shared" si="1"/>
        <v>0</v>
      </c>
      <c r="AJ9" s="110">
        <f t="shared" si="2"/>
        <v>0</v>
      </c>
      <c r="AK9" s="75"/>
      <c r="AL9" s="67"/>
      <c r="AM9" s="75"/>
      <c r="AN9" s="68"/>
      <c r="AO9" s="75"/>
      <c r="AP9" s="68"/>
      <c r="AQ9" s="109">
        <f t="shared" si="3"/>
        <v>0</v>
      </c>
      <c r="AR9" s="43"/>
      <c r="AS9" s="96"/>
      <c r="AT9" s="114"/>
      <c r="AU9" s="117"/>
      <c r="AV9" s="115"/>
      <c r="AW9" s="117"/>
      <c r="AX9" s="122"/>
      <c r="AY9" s="117"/>
      <c r="AZ9" s="123"/>
      <c r="BA9" s="101">
        <f t="shared" si="4"/>
        <v>0</v>
      </c>
      <c r="BB9" s="76"/>
    </row>
    <row r="10" spans="1:54" ht="15.6">
      <c r="A10" s="69">
        <v>7</v>
      </c>
      <c r="B10" s="70"/>
      <c r="C10" s="33"/>
      <c r="D10" s="33"/>
      <c r="E10" s="33"/>
      <c r="F10" s="71"/>
      <c r="G10" s="71"/>
      <c r="H10" s="71"/>
      <c r="I10" s="71"/>
      <c r="J10" s="132"/>
      <c r="K10" s="71"/>
      <c r="L10" s="71"/>
      <c r="M10" s="71"/>
      <c r="N10" s="71"/>
      <c r="O10" s="72"/>
      <c r="P10" s="72"/>
      <c r="Q10" s="73"/>
      <c r="R10" s="74" t="s">
        <v>56</v>
      </c>
      <c r="S10" s="73"/>
      <c r="T10" s="97"/>
      <c r="U10" s="64"/>
      <c r="V10" s="64"/>
      <c r="W10" s="64"/>
      <c r="X10" s="64"/>
      <c r="Y10" s="64"/>
      <c r="Z10" s="65">
        <f t="shared" si="0"/>
        <v>0</v>
      </c>
      <c r="AA10" s="66"/>
      <c r="AB10" s="66"/>
      <c r="AC10" s="66"/>
      <c r="AD10" s="66"/>
      <c r="AE10" s="66"/>
      <c r="AF10" s="66"/>
      <c r="AG10" s="66"/>
      <c r="AH10" s="66"/>
      <c r="AI10" s="65">
        <f t="shared" si="1"/>
        <v>0</v>
      </c>
      <c r="AJ10" s="110">
        <f t="shared" si="2"/>
        <v>0</v>
      </c>
      <c r="AK10" s="75"/>
      <c r="AL10" s="67"/>
      <c r="AM10" s="75"/>
      <c r="AN10" s="68"/>
      <c r="AO10" s="75"/>
      <c r="AP10" s="68"/>
      <c r="AQ10" s="109">
        <f t="shared" si="3"/>
        <v>0</v>
      </c>
      <c r="AR10" s="43"/>
      <c r="AS10" s="96"/>
      <c r="AT10" s="114"/>
      <c r="AU10" s="117"/>
      <c r="AV10" s="115"/>
      <c r="AW10" s="117"/>
      <c r="AX10" s="122"/>
      <c r="AY10" s="117"/>
      <c r="AZ10" s="123"/>
      <c r="BA10" s="101">
        <f t="shared" si="4"/>
        <v>0</v>
      </c>
      <c r="BB10" s="76"/>
    </row>
    <row r="11" spans="1:54" ht="15.6">
      <c r="A11" s="69">
        <v>8</v>
      </c>
      <c r="B11" s="70"/>
      <c r="C11" s="33"/>
      <c r="D11" s="33"/>
      <c r="E11" s="33"/>
      <c r="F11" s="71"/>
      <c r="G11" s="71"/>
      <c r="H11" s="71"/>
      <c r="I11" s="71"/>
      <c r="J11" s="132"/>
      <c r="K11" s="71"/>
      <c r="L11" s="71"/>
      <c r="M11" s="71"/>
      <c r="N11" s="71"/>
      <c r="O11" s="72"/>
      <c r="P11" s="72"/>
      <c r="Q11" s="73"/>
      <c r="R11" s="74" t="s">
        <v>56</v>
      </c>
      <c r="S11" s="73"/>
      <c r="T11" s="97"/>
      <c r="U11" s="64"/>
      <c r="V11" s="64"/>
      <c r="W11" s="64"/>
      <c r="X11" s="64"/>
      <c r="Y11" s="64"/>
      <c r="Z11" s="65">
        <f t="shared" si="0"/>
        <v>0</v>
      </c>
      <c r="AA11" s="66"/>
      <c r="AB11" s="66"/>
      <c r="AC11" s="66"/>
      <c r="AD11" s="66"/>
      <c r="AE11" s="66"/>
      <c r="AF11" s="66"/>
      <c r="AG11" s="66"/>
      <c r="AH11" s="66"/>
      <c r="AI11" s="65">
        <f t="shared" si="1"/>
        <v>0</v>
      </c>
      <c r="AJ11" s="110">
        <f t="shared" si="2"/>
        <v>0</v>
      </c>
      <c r="AK11" s="75"/>
      <c r="AL11" s="67"/>
      <c r="AM11" s="75"/>
      <c r="AN11" s="68"/>
      <c r="AO11" s="75"/>
      <c r="AP11" s="68"/>
      <c r="AQ11" s="109">
        <f t="shared" si="3"/>
        <v>0</v>
      </c>
      <c r="AR11" s="43"/>
      <c r="AS11" s="96"/>
      <c r="AT11" s="114"/>
      <c r="AU11" s="117"/>
      <c r="AV11" s="115"/>
      <c r="AW11" s="117"/>
      <c r="AX11" s="122"/>
      <c r="AY11" s="117"/>
      <c r="AZ11" s="123"/>
      <c r="BA11" s="101">
        <f t="shared" si="4"/>
        <v>0</v>
      </c>
      <c r="BB11" s="76"/>
    </row>
    <row r="12" spans="1:54" ht="15.6">
      <c r="A12" s="69">
        <v>9</v>
      </c>
      <c r="B12" s="70"/>
      <c r="C12" s="33"/>
      <c r="D12" s="33"/>
      <c r="E12" s="33"/>
      <c r="F12" s="71"/>
      <c r="G12" s="71"/>
      <c r="H12" s="71"/>
      <c r="I12" s="71"/>
      <c r="J12" s="132"/>
      <c r="K12" s="71"/>
      <c r="L12" s="71"/>
      <c r="M12" s="71"/>
      <c r="N12" s="71"/>
      <c r="O12" s="72"/>
      <c r="P12" s="72"/>
      <c r="Q12" s="73"/>
      <c r="R12" s="74" t="s">
        <v>56</v>
      </c>
      <c r="S12" s="73"/>
      <c r="T12" s="97"/>
      <c r="U12" s="64"/>
      <c r="V12" s="64"/>
      <c r="W12" s="64"/>
      <c r="X12" s="64"/>
      <c r="Y12" s="64"/>
      <c r="Z12" s="65">
        <f t="shared" si="0"/>
        <v>0</v>
      </c>
      <c r="AA12" s="66"/>
      <c r="AB12" s="66"/>
      <c r="AC12" s="66"/>
      <c r="AD12" s="66"/>
      <c r="AE12" s="66"/>
      <c r="AF12" s="66"/>
      <c r="AG12" s="66"/>
      <c r="AH12" s="66"/>
      <c r="AI12" s="65">
        <f t="shared" si="1"/>
        <v>0</v>
      </c>
      <c r="AJ12" s="110">
        <f t="shared" si="2"/>
        <v>0</v>
      </c>
      <c r="AK12" s="75"/>
      <c r="AL12" s="67"/>
      <c r="AM12" s="75"/>
      <c r="AN12" s="68"/>
      <c r="AO12" s="75"/>
      <c r="AP12" s="68"/>
      <c r="AQ12" s="109">
        <f t="shared" si="3"/>
        <v>0</v>
      </c>
      <c r="AR12" s="43"/>
      <c r="AS12" s="96"/>
      <c r="AT12" s="114"/>
      <c r="AU12" s="117"/>
      <c r="AV12" s="115"/>
      <c r="AW12" s="117"/>
      <c r="AX12" s="122"/>
      <c r="AY12" s="117"/>
      <c r="AZ12" s="123"/>
      <c r="BA12" s="101">
        <f t="shared" si="4"/>
        <v>0</v>
      </c>
      <c r="BB12" s="76"/>
    </row>
    <row r="13" spans="1:54" ht="15.6">
      <c r="A13" s="69">
        <v>10</v>
      </c>
      <c r="B13" s="70"/>
      <c r="C13" s="33"/>
      <c r="D13" s="33"/>
      <c r="E13" s="33"/>
      <c r="F13" s="71"/>
      <c r="G13" s="71"/>
      <c r="H13" s="71"/>
      <c r="I13" s="71"/>
      <c r="J13" s="132"/>
      <c r="K13" s="71"/>
      <c r="L13" s="71"/>
      <c r="M13" s="71"/>
      <c r="N13" s="71"/>
      <c r="O13" s="72"/>
      <c r="P13" s="72"/>
      <c r="Q13" s="73"/>
      <c r="R13" s="74" t="s">
        <v>56</v>
      </c>
      <c r="S13" s="73"/>
      <c r="T13" s="97"/>
      <c r="U13" s="64"/>
      <c r="V13" s="64"/>
      <c r="W13" s="64"/>
      <c r="X13" s="64"/>
      <c r="Y13" s="64"/>
      <c r="Z13" s="65">
        <f t="shared" si="0"/>
        <v>0</v>
      </c>
      <c r="AA13" s="66"/>
      <c r="AB13" s="66"/>
      <c r="AC13" s="66"/>
      <c r="AD13" s="66"/>
      <c r="AE13" s="66"/>
      <c r="AF13" s="66"/>
      <c r="AG13" s="66"/>
      <c r="AH13" s="66"/>
      <c r="AI13" s="65">
        <f t="shared" si="1"/>
        <v>0</v>
      </c>
      <c r="AJ13" s="110">
        <f t="shared" si="2"/>
        <v>0</v>
      </c>
      <c r="AK13" s="75"/>
      <c r="AL13" s="67"/>
      <c r="AM13" s="75"/>
      <c r="AN13" s="68"/>
      <c r="AO13" s="75"/>
      <c r="AP13" s="68"/>
      <c r="AQ13" s="109">
        <f t="shared" si="3"/>
        <v>0</v>
      </c>
      <c r="AR13" s="43"/>
      <c r="AS13" s="96"/>
      <c r="AT13" s="114"/>
      <c r="AU13" s="117"/>
      <c r="AV13" s="115"/>
      <c r="AW13" s="117"/>
      <c r="AX13" s="122"/>
      <c r="AY13" s="117"/>
      <c r="AZ13" s="123"/>
      <c r="BA13" s="101">
        <f t="shared" si="4"/>
        <v>0</v>
      </c>
      <c r="BB13" s="76"/>
    </row>
    <row r="14" spans="1:54" ht="15.6">
      <c r="A14" s="69">
        <v>11</v>
      </c>
      <c r="B14" s="70"/>
      <c r="C14" s="33"/>
      <c r="D14" s="33"/>
      <c r="E14" s="33"/>
      <c r="F14" s="71"/>
      <c r="G14" s="71"/>
      <c r="H14" s="71"/>
      <c r="I14" s="71"/>
      <c r="J14" s="132"/>
      <c r="K14" s="71"/>
      <c r="L14" s="71"/>
      <c r="M14" s="71"/>
      <c r="N14" s="71"/>
      <c r="O14" s="72"/>
      <c r="P14" s="72"/>
      <c r="Q14" s="73"/>
      <c r="R14" s="74" t="s">
        <v>56</v>
      </c>
      <c r="S14" s="73"/>
      <c r="T14" s="97"/>
      <c r="U14" s="64"/>
      <c r="V14" s="64"/>
      <c r="W14" s="64"/>
      <c r="X14" s="64"/>
      <c r="Y14" s="64"/>
      <c r="Z14" s="65">
        <f t="shared" si="0"/>
        <v>0</v>
      </c>
      <c r="AA14" s="66"/>
      <c r="AB14" s="66"/>
      <c r="AC14" s="66"/>
      <c r="AD14" s="66"/>
      <c r="AE14" s="66"/>
      <c r="AF14" s="66"/>
      <c r="AG14" s="66"/>
      <c r="AH14" s="66"/>
      <c r="AI14" s="65">
        <f t="shared" si="1"/>
        <v>0</v>
      </c>
      <c r="AJ14" s="110">
        <f t="shared" si="2"/>
        <v>0</v>
      </c>
      <c r="AK14" s="75"/>
      <c r="AL14" s="67"/>
      <c r="AM14" s="75"/>
      <c r="AN14" s="68"/>
      <c r="AO14" s="75"/>
      <c r="AP14" s="68"/>
      <c r="AQ14" s="109">
        <f t="shared" si="3"/>
        <v>0</v>
      </c>
      <c r="AR14" s="43"/>
      <c r="AS14" s="96"/>
      <c r="AT14" s="114"/>
      <c r="AU14" s="117"/>
      <c r="AV14" s="115"/>
      <c r="AW14" s="117"/>
      <c r="AX14" s="122"/>
      <c r="AY14" s="117"/>
      <c r="AZ14" s="123"/>
      <c r="BA14" s="101">
        <f t="shared" si="4"/>
        <v>0</v>
      </c>
      <c r="BB14" s="76"/>
    </row>
    <row r="15" spans="1:54" ht="15.6">
      <c r="A15" s="69">
        <v>12</v>
      </c>
      <c r="B15" s="70"/>
      <c r="C15" s="33"/>
      <c r="D15" s="33"/>
      <c r="E15" s="33"/>
      <c r="F15" s="71"/>
      <c r="G15" s="71"/>
      <c r="H15" s="71"/>
      <c r="I15" s="71"/>
      <c r="J15" s="132"/>
      <c r="K15" s="71"/>
      <c r="L15" s="71"/>
      <c r="M15" s="71"/>
      <c r="N15" s="71"/>
      <c r="O15" s="72"/>
      <c r="P15" s="72"/>
      <c r="Q15" s="73"/>
      <c r="R15" s="74" t="s">
        <v>56</v>
      </c>
      <c r="S15" s="73"/>
      <c r="T15" s="97"/>
      <c r="U15" s="64"/>
      <c r="V15" s="64"/>
      <c r="W15" s="64"/>
      <c r="X15" s="64"/>
      <c r="Y15" s="64"/>
      <c r="Z15" s="65">
        <f t="shared" si="0"/>
        <v>0</v>
      </c>
      <c r="AA15" s="66"/>
      <c r="AB15" s="66"/>
      <c r="AC15" s="66"/>
      <c r="AD15" s="66"/>
      <c r="AE15" s="66"/>
      <c r="AF15" s="66"/>
      <c r="AG15" s="66"/>
      <c r="AH15" s="66"/>
      <c r="AI15" s="65">
        <f t="shared" si="1"/>
        <v>0</v>
      </c>
      <c r="AJ15" s="110">
        <f t="shared" si="2"/>
        <v>0</v>
      </c>
      <c r="AK15" s="75"/>
      <c r="AL15" s="67"/>
      <c r="AM15" s="75"/>
      <c r="AN15" s="68"/>
      <c r="AO15" s="75"/>
      <c r="AP15" s="68"/>
      <c r="AQ15" s="109">
        <f t="shared" si="3"/>
        <v>0</v>
      </c>
      <c r="AR15" s="43"/>
      <c r="AS15" s="96"/>
      <c r="AT15" s="114"/>
      <c r="AU15" s="117"/>
      <c r="AV15" s="115"/>
      <c r="AW15" s="117"/>
      <c r="AX15" s="122"/>
      <c r="AY15" s="117"/>
      <c r="AZ15" s="123"/>
      <c r="BA15" s="101">
        <f t="shared" si="4"/>
        <v>0</v>
      </c>
      <c r="BB15" s="76"/>
    </row>
    <row r="16" spans="1:54" ht="15.6">
      <c r="A16" s="69">
        <v>13</v>
      </c>
      <c r="B16" s="70"/>
      <c r="C16" s="33"/>
      <c r="D16" s="33"/>
      <c r="E16" s="33"/>
      <c r="F16" s="71"/>
      <c r="G16" s="71"/>
      <c r="H16" s="71"/>
      <c r="I16" s="71"/>
      <c r="J16" s="132"/>
      <c r="K16" s="71"/>
      <c r="L16" s="71"/>
      <c r="M16" s="71"/>
      <c r="N16" s="71"/>
      <c r="O16" s="72"/>
      <c r="P16" s="72"/>
      <c r="Q16" s="73"/>
      <c r="R16" s="74" t="s">
        <v>56</v>
      </c>
      <c r="S16" s="73"/>
      <c r="T16" s="97"/>
      <c r="U16" s="64"/>
      <c r="V16" s="64"/>
      <c r="W16" s="64"/>
      <c r="X16" s="64"/>
      <c r="Y16" s="64"/>
      <c r="Z16" s="65">
        <f t="shared" si="0"/>
        <v>0</v>
      </c>
      <c r="AA16" s="66"/>
      <c r="AB16" s="66"/>
      <c r="AC16" s="66"/>
      <c r="AD16" s="66"/>
      <c r="AE16" s="66"/>
      <c r="AF16" s="66"/>
      <c r="AG16" s="66"/>
      <c r="AH16" s="66"/>
      <c r="AI16" s="65">
        <f t="shared" si="1"/>
        <v>0</v>
      </c>
      <c r="AJ16" s="110">
        <f t="shared" si="2"/>
        <v>0</v>
      </c>
      <c r="AK16" s="75"/>
      <c r="AL16" s="67"/>
      <c r="AM16" s="75"/>
      <c r="AN16" s="68"/>
      <c r="AO16" s="75"/>
      <c r="AP16" s="68"/>
      <c r="AQ16" s="109">
        <f t="shared" si="3"/>
        <v>0</v>
      </c>
      <c r="AR16" s="43"/>
      <c r="AS16" s="96"/>
      <c r="AT16" s="114"/>
      <c r="AU16" s="117"/>
      <c r="AV16" s="115"/>
      <c r="AW16" s="117"/>
      <c r="AX16" s="122"/>
      <c r="AY16" s="117"/>
      <c r="AZ16" s="123"/>
      <c r="BA16" s="101">
        <f t="shared" si="4"/>
        <v>0</v>
      </c>
      <c r="BB16" s="76"/>
    </row>
    <row r="17" spans="1:54" ht="15.6">
      <c r="A17" s="69">
        <v>14</v>
      </c>
      <c r="B17" s="70"/>
      <c r="C17" s="33"/>
      <c r="D17" s="33"/>
      <c r="E17" s="33"/>
      <c r="F17" s="71"/>
      <c r="G17" s="71"/>
      <c r="H17" s="71"/>
      <c r="I17" s="71"/>
      <c r="J17" s="132"/>
      <c r="K17" s="71"/>
      <c r="L17" s="71"/>
      <c r="M17" s="71"/>
      <c r="N17" s="71"/>
      <c r="O17" s="72"/>
      <c r="P17" s="72"/>
      <c r="Q17" s="73"/>
      <c r="R17" s="74" t="s">
        <v>56</v>
      </c>
      <c r="S17" s="73"/>
      <c r="T17" s="97"/>
      <c r="U17" s="64"/>
      <c r="V17" s="64"/>
      <c r="W17" s="64"/>
      <c r="X17" s="64"/>
      <c r="Y17" s="64"/>
      <c r="Z17" s="65">
        <f t="shared" si="0"/>
        <v>0</v>
      </c>
      <c r="AA17" s="66"/>
      <c r="AB17" s="66"/>
      <c r="AC17" s="66"/>
      <c r="AD17" s="66"/>
      <c r="AE17" s="66"/>
      <c r="AF17" s="66"/>
      <c r="AG17" s="66"/>
      <c r="AH17" s="66"/>
      <c r="AI17" s="65">
        <f t="shared" si="1"/>
        <v>0</v>
      </c>
      <c r="AJ17" s="110">
        <f t="shared" si="2"/>
        <v>0</v>
      </c>
      <c r="AK17" s="75"/>
      <c r="AL17" s="67"/>
      <c r="AM17" s="75"/>
      <c r="AN17" s="68"/>
      <c r="AO17" s="75"/>
      <c r="AP17" s="68"/>
      <c r="AQ17" s="109">
        <f t="shared" si="3"/>
        <v>0</v>
      </c>
      <c r="AR17" s="43"/>
      <c r="AS17" s="96"/>
      <c r="AT17" s="114"/>
      <c r="AU17" s="117"/>
      <c r="AV17" s="115"/>
      <c r="AW17" s="117"/>
      <c r="AX17" s="122"/>
      <c r="AY17" s="117"/>
      <c r="AZ17" s="123"/>
      <c r="BA17" s="101">
        <f t="shared" si="4"/>
        <v>0</v>
      </c>
      <c r="BB17" s="76"/>
    </row>
    <row r="18" spans="1:54" ht="15.6">
      <c r="A18" s="69">
        <v>15</v>
      </c>
      <c r="B18" s="70"/>
      <c r="C18" s="33"/>
      <c r="D18" s="33"/>
      <c r="E18" s="33"/>
      <c r="F18" s="71"/>
      <c r="G18" s="71"/>
      <c r="H18" s="71"/>
      <c r="I18" s="71"/>
      <c r="J18" s="132"/>
      <c r="K18" s="71"/>
      <c r="L18" s="71"/>
      <c r="M18" s="71"/>
      <c r="N18" s="71"/>
      <c r="O18" s="72"/>
      <c r="P18" s="72"/>
      <c r="Q18" s="73"/>
      <c r="R18" s="74" t="s">
        <v>56</v>
      </c>
      <c r="S18" s="73"/>
      <c r="T18" s="97"/>
      <c r="U18" s="64"/>
      <c r="V18" s="64"/>
      <c r="W18" s="64"/>
      <c r="X18" s="64"/>
      <c r="Y18" s="64"/>
      <c r="Z18" s="65">
        <f t="shared" si="0"/>
        <v>0</v>
      </c>
      <c r="AA18" s="66"/>
      <c r="AB18" s="66"/>
      <c r="AC18" s="66"/>
      <c r="AD18" s="66"/>
      <c r="AE18" s="66"/>
      <c r="AF18" s="66"/>
      <c r="AG18" s="66"/>
      <c r="AH18" s="66"/>
      <c r="AI18" s="65">
        <f t="shared" si="1"/>
        <v>0</v>
      </c>
      <c r="AJ18" s="110">
        <f t="shared" si="2"/>
        <v>0</v>
      </c>
      <c r="AK18" s="75"/>
      <c r="AL18" s="67"/>
      <c r="AM18" s="75"/>
      <c r="AN18" s="68"/>
      <c r="AO18" s="75"/>
      <c r="AP18" s="68"/>
      <c r="AQ18" s="109">
        <f t="shared" si="3"/>
        <v>0</v>
      </c>
      <c r="AR18" s="43"/>
      <c r="AS18" s="96"/>
      <c r="AT18" s="114"/>
      <c r="AU18" s="117"/>
      <c r="AV18" s="115"/>
      <c r="AW18" s="117"/>
      <c r="AX18" s="122"/>
      <c r="AY18" s="117"/>
      <c r="AZ18" s="123"/>
      <c r="BA18" s="101">
        <f t="shared" si="4"/>
        <v>0</v>
      </c>
      <c r="BB18" s="76"/>
    </row>
    <row r="19" spans="1:54" ht="15.6">
      <c r="A19" s="69">
        <v>16</v>
      </c>
      <c r="B19" s="70"/>
      <c r="C19" s="33"/>
      <c r="D19" s="33"/>
      <c r="E19" s="33"/>
      <c r="F19" s="71"/>
      <c r="G19" s="71"/>
      <c r="H19" s="71"/>
      <c r="I19" s="71"/>
      <c r="J19" s="132"/>
      <c r="K19" s="71"/>
      <c r="L19" s="71"/>
      <c r="M19" s="71"/>
      <c r="N19" s="71"/>
      <c r="O19" s="72"/>
      <c r="P19" s="72"/>
      <c r="Q19" s="73"/>
      <c r="R19" s="74" t="s">
        <v>56</v>
      </c>
      <c r="S19" s="73"/>
      <c r="T19" s="97"/>
      <c r="U19" s="64"/>
      <c r="V19" s="64"/>
      <c r="W19" s="64"/>
      <c r="X19" s="64"/>
      <c r="Y19" s="64"/>
      <c r="Z19" s="65">
        <f t="shared" si="0"/>
        <v>0</v>
      </c>
      <c r="AA19" s="66"/>
      <c r="AB19" s="66"/>
      <c r="AC19" s="66"/>
      <c r="AD19" s="66"/>
      <c r="AE19" s="66"/>
      <c r="AF19" s="66"/>
      <c r="AG19" s="66"/>
      <c r="AH19" s="66"/>
      <c r="AI19" s="65">
        <f t="shared" si="1"/>
        <v>0</v>
      </c>
      <c r="AJ19" s="110">
        <f t="shared" si="2"/>
        <v>0</v>
      </c>
      <c r="AK19" s="75"/>
      <c r="AL19" s="67"/>
      <c r="AM19" s="75"/>
      <c r="AN19" s="68"/>
      <c r="AO19" s="75"/>
      <c r="AP19" s="68"/>
      <c r="AQ19" s="109">
        <f t="shared" si="3"/>
        <v>0</v>
      </c>
      <c r="AR19" s="43"/>
      <c r="AS19" s="96"/>
      <c r="AT19" s="114"/>
      <c r="AU19" s="117"/>
      <c r="AV19" s="115"/>
      <c r="AW19" s="117"/>
      <c r="AX19" s="122"/>
      <c r="AY19" s="117"/>
      <c r="AZ19" s="123"/>
      <c r="BA19" s="101">
        <f t="shared" si="4"/>
        <v>0</v>
      </c>
      <c r="BB19" s="76"/>
    </row>
    <row r="20" spans="1:54" ht="15.75" customHeight="1">
      <c r="A20" s="69">
        <v>17</v>
      </c>
      <c r="B20" s="70"/>
      <c r="C20" s="33"/>
      <c r="D20" s="33"/>
      <c r="E20" s="33"/>
      <c r="F20" s="71"/>
      <c r="G20" s="71"/>
      <c r="H20" s="71"/>
      <c r="I20" s="71"/>
      <c r="J20" s="132"/>
      <c r="K20" s="71"/>
      <c r="L20" s="71"/>
      <c r="M20" s="71"/>
      <c r="N20" s="71"/>
      <c r="O20" s="72"/>
      <c r="P20" s="72"/>
      <c r="Q20" s="73"/>
      <c r="R20" s="74" t="s">
        <v>56</v>
      </c>
      <c r="S20" s="73"/>
      <c r="T20" s="97"/>
      <c r="U20" s="64"/>
      <c r="V20" s="64"/>
      <c r="W20" s="64"/>
      <c r="X20" s="64"/>
      <c r="Y20" s="64"/>
      <c r="Z20" s="65">
        <f t="shared" si="0"/>
        <v>0</v>
      </c>
      <c r="AA20" s="66"/>
      <c r="AB20" s="66"/>
      <c r="AC20" s="66"/>
      <c r="AD20" s="66"/>
      <c r="AE20" s="66"/>
      <c r="AF20" s="66"/>
      <c r="AG20" s="66"/>
      <c r="AH20" s="66"/>
      <c r="AI20" s="65">
        <f t="shared" si="1"/>
        <v>0</v>
      </c>
      <c r="AJ20" s="110">
        <f t="shared" si="2"/>
        <v>0</v>
      </c>
      <c r="AK20" s="75"/>
      <c r="AL20" s="67"/>
      <c r="AM20" s="75"/>
      <c r="AN20" s="68"/>
      <c r="AO20" s="75"/>
      <c r="AP20" s="68"/>
      <c r="AQ20" s="109">
        <f t="shared" si="3"/>
        <v>0</v>
      </c>
      <c r="AR20" s="43"/>
      <c r="AS20" s="96"/>
      <c r="AT20" s="114"/>
      <c r="AU20" s="117"/>
      <c r="AV20" s="115"/>
      <c r="AW20" s="117"/>
      <c r="AX20" s="122"/>
      <c r="AY20" s="117"/>
      <c r="AZ20" s="123"/>
      <c r="BA20" s="101">
        <f t="shared" si="4"/>
        <v>0</v>
      </c>
      <c r="BB20" s="76"/>
    </row>
    <row r="21" spans="1:54" ht="15.75" customHeight="1">
      <c r="A21" s="69">
        <v>18</v>
      </c>
      <c r="B21" s="70"/>
      <c r="C21" s="33"/>
      <c r="D21" s="33"/>
      <c r="E21" s="33"/>
      <c r="F21" s="71"/>
      <c r="G21" s="71"/>
      <c r="H21" s="71"/>
      <c r="I21" s="71"/>
      <c r="J21" s="132"/>
      <c r="K21" s="71"/>
      <c r="L21" s="71"/>
      <c r="M21" s="71"/>
      <c r="N21" s="71"/>
      <c r="O21" s="72"/>
      <c r="P21" s="72"/>
      <c r="Q21" s="73"/>
      <c r="R21" s="74" t="s">
        <v>56</v>
      </c>
      <c r="S21" s="73"/>
      <c r="T21" s="97"/>
      <c r="U21" s="64"/>
      <c r="V21" s="64"/>
      <c r="W21" s="64"/>
      <c r="X21" s="64"/>
      <c r="Y21" s="64"/>
      <c r="Z21" s="65">
        <f t="shared" si="0"/>
        <v>0</v>
      </c>
      <c r="AA21" s="66"/>
      <c r="AB21" s="66"/>
      <c r="AC21" s="66"/>
      <c r="AD21" s="66"/>
      <c r="AE21" s="66"/>
      <c r="AF21" s="66"/>
      <c r="AG21" s="66"/>
      <c r="AH21" s="66"/>
      <c r="AI21" s="65">
        <f t="shared" si="1"/>
        <v>0</v>
      </c>
      <c r="AJ21" s="110">
        <f t="shared" si="2"/>
        <v>0</v>
      </c>
      <c r="AK21" s="75"/>
      <c r="AL21" s="67"/>
      <c r="AM21" s="75"/>
      <c r="AN21" s="68"/>
      <c r="AO21" s="75"/>
      <c r="AP21" s="68"/>
      <c r="AQ21" s="109">
        <f t="shared" si="3"/>
        <v>0</v>
      </c>
      <c r="AR21" s="43"/>
      <c r="AS21" s="96"/>
      <c r="AT21" s="114"/>
      <c r="AU21" s="117"/>
      <c r="AV21" s="115"/>
      <c r="AW21" s="117"/>
      <c r="AX21" s="122"/>
      <c r="AY21" s="117"/>
      <c r="AZ21" s="123"/>
      <c r="BA21" s="101">
        <f t="shared" si="4"/>
        <v>0</v>
      </c>
      <c r="BB21" s="76"/>
    </row>
    <row r="22" spans="1:54" ht="15.75" customHeight="1">
      <c r="A22" s="69">
        <v>19</v>
      </c>
      <c r="B22" s="70"/>
      <c r="C22" s="33"/>
      <c r="D22" s="33"/>
      <c r="E22" s="33"/>
      <c r="F22" s="71"/>
      <c r="G22" s="71"/>
      <c r="H22" s="71"/>
      <c r="I22" s="71"/>
      <c r="J22" s="132"/>
      <c r="K22" s="71"/>
      <c r="L22" s="71"/>
      <c r="M22" s="71"/>
      <c r="N22" s="71"/>
      <c r="O22" s="72"/>
      <c r="P22" s="72"/>
      <c r="Q22" s="73"/>
      <c r="R22" s="74" t="s">
        <v>56</v>
      </c>
      <c r="S22" s="73"/>
      <c r="T22" s="97"/>
      <c r="U22" s="64"/>
      <c r="V22" s="64"/>
      <c r="W22" s="64"/>
      <c r="X22" s="64"/>
      <c r="Y22" s="64"/>
      <c r="Z22" s="65">
        <f t="shared" si="0"/>
        <v>0</v>
      </c>
      <c r="AA22" s="66"/>
      <c r="AB22" s="66"/>
      <c r="AC22" s="66"/>
      <c r="AD22" s="66"/>
      <c r="AE22" s="66"/>
      <c r="AF22" s="66"/>
      <c r="AG22" s="66"/>
      <c r="AH22" s="66"/>
      <c r="AI22" s="65">
        <f t="shared" si="1"/>
        <v>0</v>
      </c>
      <c r="AJ22" s="110">
        <f t="shared" si="2"/>
        <v>0</v>
      </c>
      <c r="AK22" s="75"/>
      <c r="AL22" s="67"/>
      <c r="AM22" s="75"/>
      <c r="AN22" s="68"/>
      <c r="AO22" s="75"/>
      <c r="AP22" s="68"/>
      <c r="AQ22" s="109">
        <f t="shared" si="3"/>
        <v>0</v>
      </c>
      <c r="AR22" s="43"/>
      <c r="AS22" s="96"/>
      <c r="AT22" s="114"/>
      <c r="AU22" s="117"/>
      <c r="AV22" s="115"/>
      <c r="AW22" s="117"/>
      <c r="AX22" s="122"/>
      <c r="AY22" s="117"/>
      <c r="AZ22" s="123"/>
      <c r="BA22" s="101">
        <f t="shared" si="4"/>
        <v>0</v>
      </c>
      <c r="BB22" s="76"/>
    </row>
    <row r="23" spans="1:54" ht="15.75" customHeight="1">
      <c r="A23" s="69">
        <v>20</v>
      </c>
      <c r="B23" s="70"/>
      <c r="C23" s="33"/>
      <c r="D23" s="33"/>
      <c r="E23" s="33"/>
      <c r="F23" s="71"/>
      <c r="G23" s="71"/>
      <c r="H23" s="71"/>
      <c r="I23" s="71"/>
      <c r="J23" s="132"/>
      <c r="K23" s="71"/>
      <c r="L23" s="71"/>
      <c r="M23" s="71"/>
      <c r="N23" s="71"/>
      <c r="O23" s="72"/>
      <c r="P23" s="72"/>
      <c r="Q23" s="73"/>
      <c r="R23" s="74"/>
      <c r="S23" s="73"/>
      <c r="T23" s="97"/>
      <c r="U23" s="64"/>
      <c r="V23" s="64"/>
      <c r="W23" s="64"/>
      <c r="X23" s="64"/>
      <c r="Y23" s="64"/>
      <c r="Z23" s="65">
        <f t="shared" si="0"/>
        <v>0</v>
      </c>
      <c r="AA23" s="66"/>
      <c r="AB23" s="66"/>
      <c r="AC23" s="66"/>
      <c r="AD23" s="66"/>
      <c r="AE23" s="66"/>
      <c r="AF23" s="66"/>
      <c r="AG23" s="66"/>
      <c r="AH23" s="66"/>
      <c r="AI23" s="65">
        <f t="shared" si="1"/>
        <v>0</v>
      </c>
      <c r="AJ23" s="110">
        <f t="shared" si="2"/>
        <v>0</v>
      </c>
      <c r="AK23" s="75"/>
      <c r="AL23" s="67"/>
      <c r="AM23" s="75"/>
      <c r="AN23" s="68"/>
      <c r="AO23" s="75"/>
      <c r="AP23" s="68"/>
      <c r="AQ23" s="109">
        <f t="shared" si="3"/>
        <v>0</v>
      </c>
      <c r="AR23" s="43"/>
      <c r="AS23" s="96"/>
      <c r="AT23" s="114"/>
      <c r="AU23" s="117"/>
      <c r="AV23" s="115"/>
      <c r="AW23" s="117"/>
      <c r="AX23" s="122"/>
      <c r="AY23" s="117"/>
      <c r="AZ23" s="123"/>
      <c r="BA23" s="101">
        <f t="shared" si="4"/>
        <v>0</v>
      </c>
      <c r="BB23" s="76"/>
    </row>
    <row r="24" spans="1:54" ht="15.75" customHeight="1">
      <c r="A24" s="69">
        <v>21</v>
      </c>
      <c r="B24" s="70"/>
      <c r="C24" s="33"/>
      <c r="D24" s="33"/>
      <c r="E24" s="33"/>
      <c r="F24" s="71"/>
      <c r="G24" s="71"/>
      <c r="H24" s="71"/>
      <c r="I24" s="71"/>
      <c r="J24" s="132"/>
      <c r="K24" s="71"/>
      <c r="L24" s="71"/>
      <c r="M24" s="71"/>
      <c r="N24" s="71"/>
      <c r="O24" s="72"/>
      <c r="P24" s="72"/>
      <c r="Q24" s="73"/>
      <c r="R24" s="74" t="s">
        <v>56</v>
      </c>
      <c r="S24" s="73"/>
      <c r="T24" s="97"/>
      <c r="U24" s="64"/>
      <c r="V24" s="64"/>
      <c r="W24" s="64"/>
      <c r="X24" s="64"/>
      <c r="Y24" s="64"/>
      <c r="Z24" s="65">
        <f t="shared" si="0"/>
        <v>0</v>
      </c>
      <c r="AA24" s="66"/>
      <c r="AB24" s="66"/>
      <c r="AC24" s="66"/>
      <c r="AD24" s="66"/>
      <c r="AE24" s="66"/>
      <c r="AF24" s="66"/>
      <c r="AG24" s="66"/>
      <c r="AH24" s="66"/>
      <c r="AI24" s="65">
        <f t="shared" si="1"/>
        <v>0</v>
      </c>
      <c r="AJ24" s="110">
        <f t="shared" si="2"/>
        <v>0</v>
      </c>
      <c r="AK24" s="75"/>
      <c r="AL24" s="67"/>
      <c r="AM24" s="75"/>
      <c r="AN24" s="68"/>
      <c r="AO24" s="75"/>
      <c r="AP24" s="68"/>
      <c r="AQ24" s="109">
        <f t="shared" si="3"/>
        <v>0</v>
      </c>
      <c r="AR24" s="140"/>
      <c r="AS24" s="141"/>
      <c r="AT24" s="142"/>
      <c r="AU24" s="117"/>
      <c r="AV24" s="143"/>
      <c r="AW24" s="117"/>
      <c r="AX24" s="118"/>
      <c r="AY24" s="117"/>
      <c r="AZ24" s="124"/>
      <c r="BA24" s="144">
        <f t="shared" si="4"/>
        <v>0</v>
      </c>
      <c r="BB24" s="76"/>
    </row>
    <row r="25" spans="1:54" ht="15.75" customHeight="1">
      <c r="A25" s="48"/>
      <c r="B25" s="48"/>
      <c r="C25" s="4"/>
      <c r="D25" s="4"/>
      <c r="E25" s="4"/>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137"/>
      <c r="AS25" s="137"/>
      <c r="AT25" s="138"/>
      <c r="AU25" s="4"/>
      <c r="AV25" s="139"/>
      <c r="AW25" s="4"/>
      <c r="AX25" s="139"/>
      <c r="AY25" s="4"/>
      <c r="AZ25" s="139"/>
      <c r="BA25" s="139"/>
      <c r="BB25" s="46"/>
    </row>
    <row r="26" spans="1:54" ht="15.75" customHeight="1">
      <c r="A26" s="48"/>
      <c r="B26" s="48"/>
      <c r="C26" s="4"/>
      <c r="D26" s="4"/>
      <c r="E26" s="4"/>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137"/>
      <c r="AS26" s="137"/>
      <c r="AT26" s="138"/>
      <c r="AU26" s="4"/>
      <c r="AV26" s="139"/>
      <c r="AW26" s="4"/>
      <c r="AX26" s="139"/>
      <c r="AY26" s="4"/>
      <c r="AZ26" s="139"/>
      <c r="BA26" s="139"/>
      <c r="BB26" s="46"/>
    </row>
    <row r="27" spans="1:54" ht="15.75" customHeight="1">
      <c r="A27" s="48"/>
      <c r="B27" s="48"/>
      <c r="C27" s="4"/>
      <c r="D27" s="4"/>
      <c r="E27" s="4"/>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
      <c r="AS27" s="4"/>
      <c r="AT27" s="4"/>
      <c r="AU27" s="4"/>
      <c r="AV27" s="4"/>
      <c r="AW27" s="4"/>
      <c r="AX27" s="4"/>
      <c r="AY27" s="4"/>
      <c r="AZ27" s="4"/>
      <c r="BA27" s="4"/>
      <c r="BB27" s="46"/>
    </row>
    <row r="28" spans="1:54" ht="15.75" customHeight="1">
      <c r="A28" s="48"/>
      <c r="B28" s="48"/>
      <c r="C28" s="4"/>
      <c r="D28" s="4"/>
      <c r="E28" s="4"/>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
      <c r="AS28" s="4"/>
      <c r="AT28" s="4"/>
      <c r="AU28" s="4"/>
      <c r="AV28" s="4"/>
      <c r="AW28" s="4"/>
      <c r="AX28" s="4"/>
      <c r="AY28" s="4"/>
      <c r="AZ28" s="4"/>
      <c r="BA28" s="4"/>
      <c r="BB28" s="46"/>
    </row>
    <row r="29" spans="1:54" ht="15.75" customHeight="1">
      <c r="A29" s="48"/>
      <c r="B29" s="48"/>
      <c r="C29" s="4"/>
      <c r="D29" s="4"/>
      <c r="E29" s="4"/>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
      <c r="AS29" s="4"/>
      <c r="AT29" s="4"/>
      <c r="AU29" s="4"/>
      <c r="AV29" s="4"/>
      <c r="AW29" s="4"/>
      <c r="AX29" s="4"/>
      <c r="AY29" s="4"/>
      <c r="AZ29" s="4"/>
      <c r="BA29" s="4"/>
      <c r="BB29" s="46"/>
    </row>
    <row r="30" spans="1:54" ht="15.75" customHeight="1">
      <c r="A30" s="48"/>
      <c r="B30" s="48"/>
      <c r="C30" s="4"/>
      <c r="D30" s="4"/>
      <c r="E30" s="4"/>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
      <c r="AS30" s="4"/>
      <c r="AT30" s="4"/>
      <c r="AU30" s="4"/>
      <c r="AV30" s="4"/>
      <c r="AW30" s="4"/>
      <c r="AX30" s="4"/>
      <c r="AY30" s="4"/>
      <c r="AZ30" s="4"/>
      <c r="BA30" s="4"/>
      <c r="BB30" s="46"/>
    </row>
    <row r="31" spans="1:54" ht="15.75" customHeight="1">
      <c r="A31" s="48"/>
      <c r="B31" s="48"/>
      <c r="C31" s="4"/>
      <c r="D31" s="4"/>
      <c r="E31" s="4"/>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
      <c r="AS31" s="4"/>
      <c r="AT31" s="4"/>
      <c r="AU31" s="4"/>
      <c r="AV31" s="4"/>
      <c r="AW31" s="4"/>
      <c r="AX31" s="4"/>
      <c r="AY31" s="4"/>
      <c r="AZ31" s="4"/>
      <c r="BA31" s="4"/>
      <c r="BB31" s="46"/>
    </row>
    <row r="32" spans="1:54" ht="15.75" customHeight="1">
      <c r="A32" s="48"/>
      <c r="B32" s="48"/>
      <c r="AR32" s="4"/>
      <c r="AS32" s="4"/>
      <c r="AT32" s="4"/>
      <c r="AU32" s="4"/>
      <c r="AV32" s="4"/>
      <c r="AW32" s="4"/>
      <c r="AX32" s="4"/>
      <c r="AY32" s="4"/>
      <c r="AZ32" s="4"/>
      <c r="BA32" s="4"/>
    </row>
    <row r="33" spans="1:2" ht="15.75" customHeight="1">
      <c r="A33" s="48"/>
      <c r="B33" s="48"/>
    </row>
    <row r="34" spans="1:2" ht="15.75" customHeight="1">
      <c r="A34" s="48"/>
      <c r="B34" s="48"/>
    </row>
    <row r="35" spans="1:2" ht="15.75" customHeight="1">
      <c r="A35" s="48"/>
      <c r="B35" s="48"/>
    </row>
    <row r="36" spans="1:2" ht="15.75" customHeight="1">
      <c r="A36" s="48"/>
      <c r="B36" s="48"/>
    </row>
    <row r="37" spans="1:2" ht="15.75" customHeight="1">
      <c r="A37" s="48"/>
      <c r="B37" s="48"/>
    </row>
    <row r="38" spans="1:2" ht="15.75" customHeight="1">
      <c r="A38" s="48"/>
      <c r="B38" s="48"/>
    </row>
    <row r="39" spans="1:2" ht="15.75" customHeight="1">
      <c r="A39" s="48"/>
      <c r="B39" s="48"/>
    </row>
    <row r="40" spans="1:2" ht="15.75" customHeight="1">
      <c r="A40" s="48"/>
      <c r="B40" s="48"/>
    </row>
    <row r="41" spans="1:2" ht="15.75" customHeight="1">
      <c r="A41" s="48"/>
      <c r="B41" s="48"/>
    </row>
    <row r="42" spans="1:2" ht="15.75" customHeight="1">
      <c r="A42" s="48"/>
      <c r="B42" s="48"/>
    </row>
    <row r="43" spans="1:2" ht="15.75" customHeight="1">
      <c r="A43" s="48"/>
      <c r="B43" s="48"/>
    </row>
    <row r="44" spans="1:2" ht="15.75" customHeight="1">
      <c r="A44" s="48"/>
      <c r="B44" s="48"/>
    </row>
    <row r="45" spans="1:2" ht="15.75" customHeight="1">
      <c r="A45" s="48"/>
      <c r="B45" s="48"/>
    </row>
    <row r="46" spans="1:2" ht="15.75" customHeight="1">
      <c r="A46" s="48"/>
      <c r="B46" s="48"/>
    </row>
    <row r="47" spans="1:2" ht="15.75" customHeight="1">
      <c r="A47" s="48"/>
      <c r="B47" s="48"/>
    </row>
    <row r="48" spans="1:2" ht="15.75" customHeight="1">
      <c r="A48" s="48"/>
      <c r="B48" s="48"/>
    </row>
    <row r="49" spans="1:2" ht="15.75" customHeight="1">
      <c r="A49" s="48"/>
      <c r="B49" s="48"/>
    </row>
    <row r="50" spans="1:2" ht="15.75" customHeight="1">
      <c r="A50" s="48"/>
      <c r="B50" s="48"/>
    </row>
    <row r="51" spans="1:2" ht="15.75" customHeight="1">
      <c r="A51" s="48"/>
      <c r="B51" s="48"/>
    </row>
    <row r="52" spans="1:2" ht="15.75" customHeight="1">
      <c r="A52" s="48"/>
      <c r="B52" s="48"/>
    </row>
    <row r="53" spans="1:2" ht="15.75" customHeight="1">
      <c r="A53" s="48"/>
      <c r="B53" s="48"/>
    </row>
    <row r="54" spans="1:2" ht="15.75" customHeight="1">
      <c r="A54" s="48"/>
      <c r="B54" s="48"/>
    </row>
    <row r="55" spans="1:2" ht="15.75" customHeight="1">
      <c r="A55" s="48"/>
      <c r="B55" s="48"/>
    </row>
    <row r="56" spans="1:2" ht="15.75" customHeight="1">
      <c r="A56" s="48"/>
      <c r="B56" s="48"/>
    </row>
    <row r="57" spans="1:2" ht="15.75" customHeight="1">
      <c r="A57" s="48"/>
      <c r="B57" s="48"/>
    </row>
    <row r="58" spans="1:2" ht="15.75" customHeight="1">
      <c r="A58" s="48"/>
      <c r="B58" s="48"/>
    </row>
    <row r="59" spans="1:2" ht="15.75" customHeight="1">
      <c r="A59" s="48"/>
      <c r="B59" s="48"/>
    </row>
    <row r="60" spans="1:2" ht="15.75" customHeight="1">
      <c r="A60" s="48"/>
      <c r="B60" s="48"/>
    </row>
    <row r="61" spans="1:2" ht="15.75" customHeight="1">
      <c r="A61" s="48"/>
      <c r="B61" s="48"/>
    </row>
    <row r="62" spans="1:2" ht="15.75" customHeight="1">
      <c r="A62" s="48"/>
      <c r="B62" s="48"/>
    </row>
    <row r="63" spans="1:2" ht="15.75" customHeight="1">
      <c r="A63" s="48"/>
      <c r="B63" s="48"/>
    </row>
    <row r="64" spans="1:2" ht="15.75" customHeight="1">
      <c r="A64" s="48"/>
      <c r="B64" s="48"/>
    </row>
    <row r="65" spans="1:2" ht="15.75" customHeight="1">
      <c r="A65" s="48"/>
      <c r="B65" s="48"/>
    </row>
    <row r="66" spans="1:2" ht="15.75" customHeight="1">
      <c r="A66" s="48"/>
      <c r="B66" s="48"/>
    </row>
    <row r="67" spans="1:2" ht="15.75" customHeight="1">
      <c r="A67" s="48"/>
      <c r="B67" s="48"/>
    </row>
    <row r="68" spans="1:2" ht="15.75" customHeight="1">
      <c r="A68" s="48"/>
      <c r="B68" s="48"/>
    </row>
    <row r="69" spans="1:2" ht="15.75" customHeight="1">
      <c r="A69" s="48"/>
      <c r="B69" s="48"/>
    </row>
    <row r="70" spans="1:2" ht="15.75" customHeight="1">
      <c r="A70" s="48"/>
      <c r="B70" s="48"/>
    </row>
    <row r="71" spans="1:2" ht="15.75" customHeight="1">
      <c r="A71" s="48"/>
      <c r="B71" s="48"/>
    </row>
    <row r="72" spans="1:2" ht="15.75" customHeight="1">
      <c r="A72" s="48"/>
      <c r="B72" s="48"/>
    </row>
    <row r="73" spans="1:2" ht="15.75" customHeight="1">
      <c r="A73" s="48"/>
      <c r="B73" s="48"/>
    </row>
    <row r="74" spans="1:2" ht="15.75" customHeight="1">
      <c r="A74" s="48"/>
      <c r="B74" s="48"/>
    </row>
    <row r="75" spans="1:2" ht="15.75" customHeight="1">
      <c r="A75" s="48"/>
      <c r="B75" s="48"/>
    </row>
    <row r="76" spans="1:2" ht="15.75" customHeight="1">
      <c r="A76" s="48"/>
      <c r="B76" s="48"/>
    </row>
    <row r="77" spans="1:2" ht="15.75" customHeight="1">
      <c r="A77" s="48"/>
      <c r="B77" s="48"/>
    </row>
    <row r="78" spans="1:2" ht="15.75" customHeight="1">
      <c r="A78" s="48"/>
      <c r="B78" s="48"/>
    </row>
    <row r="79" spans="1:2" ht="15.75" customHeight="1">
      <c r="A79" s="48"/>
      <c r="B79" s="48"/>
    </row>
    <row r="80" spans="1:2" ht="15.75" customHeight="1">
      <c r="A80" s="48"/>
      <c r="B80" s="48"/>
    </row>
    <row r="81" spans="1:2" ht="15.75" customHeight="1">
      <c r="A81" s="48"/>
      <c r="B81" s="48"/>
    </row>
    <row r="82" spans="1:2" ht="15.75" customHeight="1">
      <c r="A82" s="48"/>
      <c r="B82" s="48"/>
    </row>
    <row r="83" spans="1:2" ht="15.75" customHeight="1">
      <c r="A83" s="48"/>
      <c r="B83" s="48"/>
    </row>
    <row r="84" spans="1:2" ht="15.75" customHeight="1">
      <c r="A84" s="48"/>
      <c r="B84" s="48"/>
    </row>
    <row r="85" spans="1:2" ht="15.75" customHeight="1">
      <c r="A85" s="48"/>
      <c r="B85" s="48"/>
    </row>
    <row r="86" spans="1:2" ht="15.75" customHeight="1">
      <c r="A86" s="48"/>
      <c r="B86" s="48"/>
    </row>
    <row r="87" spans="1:2" ht="15.75" customHeight="1">
      <c r="A87" s="48"/>
      <c r="B87" s="48"/>
    </row>
    <row r="88" spans="1:2" ht="15.75" customHeight="1">
      <c r="A88" s="48"/>
      <c r="B88" s="48"/>
    </row>
    <row r="89" spans="1:2" ht="15.75" customHeight="1">
      <c r="A89" s="48"/>
      <c r="B89" s="48"/>
    </row>
    <row r="90" spans="1:2" ht="15.75" customHeight="1">
      <c r="A90" s="48"/>
      <c r="B90" s="48"/>
    </row>
    <row r="91" spans="1:2" ht="15.75" customHeight="1">
      <c r="A91" s="48"/>
      <c r="B91" s="48"/>
    </row>
    <row r="92" spans="1:2" ht="15.75" customHeight="1">
      <c r="A92" s="48"/>
      <c r="B92" s="48"/>
    </row>
    <row r="93" spans="1:2" ht="15.75" customHeight="1">
      <c r="A93" s="48"/>
      <c r="B93" s="48"/>
    </row>
    <row r="94" spans="1:2" ht="15.75" customHeight="1">
      <c r="A94" s="48"/>
      <c r="B94" s="48"/>
    </row>
    <row r="95" spans="1:2" ht="15.75" customHeight="1">
      <c r="A95" s="48"/>
      <c r="B95" s="48"/>
    </row>
    <row r="96" spans="1:2" ht="15.75" customHeight="1">
      <c r="A96" s="48"/>
      <c r="B96" s="48"/>
    </row>
    <row r="97" spans="1:2" ht="15.75" customHeight="1">
      <c r="A97" s="48"/>
      <c r="B97" s="48"/>
    </row>
    <row r="98" spans="1:2" ht="15.75" customHeight="1">
      <c r="A98" s="48"/>
      <c r="B98" s="48"/>
    </row>
    <row r="99" spans="1:2" ht="15.75" customHeight="1">
      <c r="A99" s="48"/>
      <c r="B99" s="48"/>
    </row>
    <row r="100" spans="1:2" ht="15.75" customHeight="1">
      <c r="A100" s="48"/>
      <c r="B100" s="48"/>
    </row>
    <row r="101" spans="1:2" ht="15.75" customHeight="1">
      <c r="A101" s="48"/>
      <c r="B101" s="48"/>
    </row>
    <row r="102" spans="1:2" ht="15.75" customHeight="1">
      <c r="A102" s="48"/>
      <c r="B102" s="48"/>
    </row>
    <row r="103" spans="1:2" ht="15.75" customHeight="1">
      <c r="A103" s="48"/>
      <c r="B103" s="48"/>
    </row>
    <row r="104" spans="1:2" ht="15.75" customHeight="1">
      <c r="A104" s="48"/>
      <c r="B104" s="48"/>
    </row>
    <row r="105" spans="1:2" ht="15.75" customHeight="1">
      <c r="A105" s="48"/>
      <c r="B105" s="48"/>
    </row>
    <row r="106" spans="1:2" ht="15.75" customHeight="1">
      <c r="A106" s="48"/>
      <c r="B106" s="48"/>
    </row>
    <row r="107" spans="1:2" ht="15.75" customHeight="1">
      <c r="A107" s="48"/>
      <c r="B107" s="48"/>
    </row>
    <row r="108" spans="1:2" ht="15.75" customHeight="1">
      <c r="A108" s="48"/>
      <c r="B108" s="48"/>
    </row>
    <row r="109" spans="1:2" ht="15.75" customHeight="1">
      <c r="A109" s="48"/>
      <c r="B109" s="48"/>
    </row>
    <row r="110" spans="1:2" ht="15.75" customHeight="1">
      <c r="A110" s="48"/>
      <c r="B110" s="48"/>
    </row>
    <row r="111" spans="1:2" ht="15.75" customHeight="1">
      <c r="A111" s="48"/>
      <c r="B111" s="48"/>
    </row>
    <row r="112" spans="1:2" ht="15.75" customHeight="1">
      <c r="A112" s="48"/>
      <c r="B112" s="48"/>
    </row>
    <row r="113" spans="1:2" ht="15.75" customHeight="1">
      <c r="A113" s="48"/>
      <c r="B113" s="48"/>
    </row>
    <row r="114" spans="1:2" ht="15.75" customHeight="1">
      <c r="A114" s="48"/>
      <c r="B114" s="48"/>
    </row>
    <row r="115" spans="1:2" ht="15.75" customHeight="1">
      <c r="A115" s="48"/>
      <c r="B115" s="48"/>
    </row>
    <row r="116" spans="1:2" ht="15.75" customHeight="1">
      <c r="A116" s="48"/>
      <c r="B116" s="48"/>
    </row>
    <row r="117" spans="1:2" ht="15.75" customHeight="1">
      <c r="A117" s="48"/>
      <c r="B117" s="48"/>
    </row>
    <row r="118" spans="1:2" ht="15.75" customHeight="1">
      <c r="A118" s="48"/>
      <c r="B118" s="48"/>
    </row>
    <row r="119" spans="1:2" ht="15.75" customHeight="1">
      <c r="A119" s="48"/>
      <c r="B119" s="48"/>
    </row>
    <row r="120" spans="1:2" ht="15.75" customHeight="1">
      <c r="A120" s="48"/>
      <c r="B120" s="48"/>
    </row>
    <row r="121" spans="1:2" ht="15.75" customHeight="1">
      <c r="A121" s="48"/>
      <c r="B121" s="48"/>
    </row>
    <row r="122" spans="1:2" ht="15.75" customHeight="1">
      <c r="A122" s="48"/>
      <c r="B122" s="48"/>
    </row>
    <row r="123" spans="1:2" ht="15.75" customHeight="1">
      <c r="A123" s="48"/>
      <c r="B123" s="48"/>
    </row>
    <row r="124" spans="1:2" ht="15.75" customHeight="1">
      <c r="A124" s="48"/>
      <c r="B124" s="48"/>
    </row>
    <row r="125" spans="1:2" ht="15.75" customHeight="1">
      <c r="A125" s="48"/>
      <c r="B125" s="48"/>
    </row>
    <row r="126" spans="1:2" ht="15.75" customHeight="1">
      <c r="A126" s="48"/>
      <c r="B126" s="48"/>
    </row>
    <row r="127" spans="1:2" ht="15.75" customHeight="1">
      <c r="A127" s="48"/>
      <c r="B127" s="48"/>
    </row>
    <row r="128" spans="1:2" ht="15.75" customHeight="1">
      <c r="A128" s="48"/>
      <c r="B128" s="48"/>
    </row>
    <row r="129" spans="1:2" ht="15.75" customHeight="1">
      <c r="A129" s="48"/>
      <c r="B129" s="48"/>
    </row>
    <row r="130" spans="1:2" ht="15.75" customHeight="1">
      <c r="A130" s="48"/>
      <c r="B130" s="48"/>
    </row>
    <row r="131" spans="1:2" ht="15.75" customHeight="1">
      <c r="A131" s="48"/>
      <c r="B131" s="48"/>
    </row>
    <row r="132" spans="1:2" ht="15.75" customHeight="1">
      <c r="A132" s="48"/>
      <c r="B132" s="48"/>
    </row>
    <row r="133" spans="1:2" ht="15.75" customHeight="1">
      <c r="A133" s="48"/>
      <c r="B133" s="48"/>
    </row>
    <row r="134" spans="1:2" ht="15.75" customHeight="1">
      <c r="A134" s="48"/>
      <c r="B134" s="48"/>
    </row>
    <row r="135" spans="1:2" ht="15.75" customHeight="1">
      <c r="A135" s="48"/>
      <c r="B135" s="48"/>
    </row>
    <row r="136" spans="1:2" ht="15.75" customHeight="1">
      <c r="A136" s="48"/>
      <c r="B136" s="48"/>
    </row>
    <row r="137" spans="1:2" ht="15.75" customHeight="1">
      <c r="A137" s="48"/>
      <c r="B137" s="48"/>
    </row>
    <row r="138" spans="1:2" ht="15.75" customHeight="1">
      <c r="A138" s="48"/>
      <c r="B138" s="48"/>
    </row>
    <row r="139" spans="1:2" ht="15.75" customHeight="1">
      <c r="A139" s="48"/>
      <c r="B139" s="48"/>
    </row>
    <row r="140" spans="1:2" ht="15.75" customHeight="1">
      <c r="A140" s="48"/>
      <c r="B140" s="48"/>
    </row>
    <row r="141" spans="1:2" ht="15.75" customHeight="1">
      <c r="A141" s="48"/>
      <c r="B141" s="48"/>
    </row>
    <row r="142" spans="1:2" ht="15.75" customHeight="1">
      <c r="A142" s="48"/>
      <c r="B142" s="48"/>
    </row>
    <row r="143" spans="1:2" ht="15.75" customHeight="1">
      <c r="A143" s="48"/>
      <c r="B143" s="48"/>
    </row>
    <row r="144" spans="1:2" ht="15.75" customHeight="1">
      <c r="A144" s="48"/>
      <c r="B144" s="48"/>
    </row>
    <row r="145" spans="1:2" ht="15.75" customHeight="1">
      <c r="A145" s="48"/>
      <c r="B145" s="48"/>
    </row>
    <row r="146" spans="1:2" ht="15.75" customHeight="1">
      <c r="A146" s="48"/>
      <c r="B146" s="48"/>
    </row>
    <row r="147" spans="1:2" ht="15.75" customHeight="1">
      <c r="A147" s="48"/>
      <c r="B147" s="48"/>
    </row>
    <row r="148" spans="1:2" ht="15.75" customHeight="1">
      <c r="A148" s="48"/>
      <c r="B148" s="48"/>
    </row>
    <row r="149" spans="1:2" ht="15.75" customHeight="1">
      <c r="A149" s="48"/>
      <c r="B149" s="48"/>
    </row>
    <row r="150" spans="1:2" ht="15.75" customHeight="1">
      <c r="A150" s="48"/>
      <c r="B150" s="48"/>
    </row>
    <row r="151" spans="1:2" ht="15.75" customHeight="1">
      <c r="A151" s="48"/>
      <c r="B151" s="48"/>
    </row>
    <row r="152" spans="1:2" ht="15.75" customHeight="1">
      <c r="A152" s="48"/>
      <c r="B152" s="48"/>
    </row>
    <row r="153" spans="1:2" ht="15.75" customHeight="1">
      <c r="A153" s="48"/>
      <c r="B153" s="48"/>
    </row>
    <row r="154" spans="1:2" ht="15.75" customHeight="1">
      <c r="A154" s="48"/>
      <c r="B154" s="48"/>
    </row>
    <row r="155" spans="1:2" ht="15.75" customHeight="1">
      <c r="A155" s="48"/>
      <c r="B155" s="48"/>
    </row>
    <row r="156" spans="1:2" ht="15.75" customHeight="1">
      <c r="A156" s="48"/>
      <c r="B156" s="48"/>
    </row>
    <row r="157" spans="1:2" ht="15.75" customHeight="1">
      <c r="A157" s="48"/>
      <c r="B157" s="48"/>
    </row>
    <row r="158" spans="1:2" ht="15.75" customHeight="1">
      <c r="A158" s="48"/>
      <c r="B158" s="48"/>
    </row>
    <row r="159" spans="1:2" ht="15.75" customHeight="1">
      <c r="A159" s="48"/>
      <c r="B159" s="48"/>
    </row>
    <row r="160" spans="1:2" ht="15.75" customHeight="1">
      <c r="A160" s="48"/>
      <c r="B160" s="48"/>
    </row>
    <row r="161" spans="1:2" ht="15.75" customHeight="1">
      <c r="A161" s="48"/>
      <c r="B161" s="48"/>
    </row>
    <row r="162" spans="1:2" ht="15.75" customHeight="1">
      <c r="A162" s="48"/>
      <c r="B162" s="48"/>
    </row>
    <row r="163" spans="1:2" ht="15.75" customHeight="1">
      <c r="A163" s="48"/>
      <c r="B163" s="48"/>
    </row>
    <row r="164" spans="1:2" ht="15.75" customHeight="1">
      <c r="A164" s="48"/>
      <c r="B164" s="48"/>
    </row>
    <row r="165" spans="1:2" ht="15.75" customHeight="1">
      <c r="A165" s="48"/>
      <c r="B165" s="48"/>
    </row>
    <row r="166" spans="1:2" ht="15.75" customHeight="1">
      <c r="A166" s="48"/>
      <c r="B166" s="48"/>
    </row>
    <row r="167" spans="1:2" ht="15.75" customHeight="1">
      <c r="A167" s="48"/>
      <c r="B167" s="48"/>
    </row>
    <row r="168" spans="1:2" ht="15.75" customHeight="1">
      <c r="A168" s="48"/>
      <c r="B168" s="48"/>
    </row>
    <row r="169" spans="1:2" ht="15.75" customHeight="1">
      <c r="A169" s="48"/>
      <c r="B169" s="48"/>
    </row>
    <row r="170" spans="1:2" ht="15.75" customHeight="1">
      <c r="A170" s="48"/>
      <c r="B170" s="48"/>
    </row>
    <row r="171" spans="1:2" ht="15.75" customHeight="1">
      <c r="A171" s="48"/>
      <c r="B171" s="48"/>
    </row>
    <row r="172" spans="1:2" ht="15.75" customHeight="1">
      <c r="A172" s="48"/>
      <c r="B172" s="48"/>
    </row>
    <row r="173" spans="1:2" ht="15.75" customHeight="1">
      <c r="A173" s="48"/>
      <c r="B173" s="48"/>
    </row>
    <row r="174" spans="1:2" ht="15.75" customHeight="1">
      <c r="A174" s="48"/>
      <c r="B174" s="48"/>
    </row>
    <row r="175" spans="1:2" ht="15.75" customHeight="1">
      <c r="A175" s="48"/>
      <c r="B175" s="48"/>
    </row>
    <row r="176" spans="1:2" ht="15.75" customHeight="1">
      <c r="A176" s="48"/>
      <c r="B176" s="48"/>
    </row>
    <row r="177" spans="1:2" ht="15.75" customHeight="1">
      <c r="A177" s="48"/>
      <c r="B177" s="48"/>
    </row>
    <row r="178" spans="1:2" ht="15.75" customHeight="1">
      <c r="A178" s="48"/>
      <c r="B178" s="48"/>
    </row>
    <row r="179" spans="1:2" ht="15.75" customHeight="1">
      <c r="A179" s="48"/>
      <c r="B179" s="48"/>
    </row>
    <row r="180" spans="1:2" ht="15.75" customHeight="1">
      <c r="A180" s="48"/>
      <c r="B180" s="48"/>
    </row>
    <row r="181" spans="1:2" ht="15.75" customHeight="1">
      <c r="A181" s="48"/>
      <c r="B181" s="48"/>
    </row>
    <row r="182" spans="1:2" ht="15.75" customHeight="1">
      <c r="A182" s="48"/>
      <c r="B182" s="48"/>
    </row>
    <row r="183" spans="1:2" ht="15.75" customHeight="1">
      <c r="A183" s="48"/>
      <c r="B183" s="48"/>
    </row>
    <row r="184" spans="1:2" ht="15.75" customHeight="1">
      <c r="A184" s="48"/>
      <c r="B184" s="48"/>
    </row>
    <row r="185" spans="1:2" ht="15.75" customHeight="1">
      <c r="A185" s="48"/>
      <c r="B185" s="48"/>
    </row>
    <row r="186" spans="1:2" ht="15.75" customHeight="1">
      <c r="A186" s="48"/>
      <c r="B186" s="48"/>
    </row>
    <row r="187" spans="1:2" ht="15.75" customHeight="1">
      <c r="A187" s="48"/>
      <c r="B187" s="48"/>
    </row>
    <row r="188" spans="1:2" ht="15.75" customHeight="1">
      <c r="A188" s="48"/>
      <c r="B188" s="48"/>
    </row>
    <row r="189" spans="1:2" ht="15.75" customHeight="1">
      <c r="A189" s="48"/>
      <c r="B189" s="48"/>
    </row>
    <row r="190" spans="1:2" ht="15.75" customHeight="1">
      <c r="A190" s="48"/>
      <c r="B190" s="48"/>
    </row>
    <row r="191" spans="1:2" ht="15.75" customHeight="1">
      <c r="A191" s="48"/>
      <c r="B191" s="48"/>
    </row>
    <row r="192" spans="1:2" ht="15.75" customHeight="1">
      <c r="A192" s="48"/>
      <c r="B192" s="48"/>
    </row>
    <row r="193" spans="1:2" ht="15.75" customHeight="1">
      <c r="A193" s="48"/>
      <c r="B193" s="48"/>
    </row>
    <row r="194" spans="1:2" ht="15.75" customHeight="1">
      <c r="A194" s="48"/>
      <c r="B194" s="48"/>
    </row>
    <row r="195" spans="1:2" ht="15.75" customHeight="1">
      <c r="A195" s="48"/>
      <c r="B195" s="48"/>
    </row>
    <row r="196" spans="1:2" ht="15.75" customHeight="1">
      <c r="A196" s="48"/>
      <c r="B196" s="48"/>
    </row>
    <row r="197" spans="1:2" ht="15.75" customHeight="1">
      <c r="A197" s="48"/>
      <c r="B197" s="48"/>
    </row>
    <row r="198" spans="1:2" ht="15.75" customHeight="1">
      <c r="A198" s="48"/>
      <c r="B198" s="48"/>
    </row>
    <row r="199" spans="1:2" ht="15.75" customHeight="1">
      <c r="A199" s="48"/>
      <c r="B199" s="48"/>
    </row>
    <row r="200" spans="1:2" ht="15.75" customHeight="1">
      <c r="A200" s="48"/>
      <c r="B200" s="48"/>
    </row>
    <row r="201" spans="1:2" ht="15.75" customHeight="1">
      <c r="A201" s="48"/>
      <c r="B201" s="48"/>
    </row>
    <row r="202" spans="1:2" ht="15.75" customHeight="1">
      <c r="A202" s="48"/>
      <c r="B202" s="48"/>
    </row>
    <row r="203" spans="1:2" ht="15.75" customHeight="1">
      <c r="A203" s="48"/>
      <c r="B203" s="48"/>
    </row>
    <row r="204" spans="1:2" ht="15.75" customHeight="1">
      <c r="A204" s="48"/>
      <c r="B204" s="48"/>
    </row>
    <row r="205" spans="1:2" ht="15.75" customHeight="1">
      <c r="A205" s="48"/>
      <c r="B205" s="48"/>
    </row>
    <row r="206" spans="1:2" ht="15.75" customHeight="1">
      <c r="A206" s="48"/>
      <c r="B206" s="48"/>
    </row>
    <row r="207" spans="1:2" ht="15.75" customHeight="1">
      <c r="A207" s="48"/>
      <c r="B207" s="48"/>
    </row>
    <row r="208" spans="1:2" ht="15.75" customHeight="1">
      <c r="A208" s="48"/>
      <c r="B208" s="48"/>
    </row>
    <row r="209" spans="1:2" ht="15.75" customHeight="1">
      <c r="A209" s="48"/>
      <c r="B209" s="48"/>
    </row>
    <row r="210" spans="1:2" ht="15.75" customHeight="1">
      <c r="A210" s="48"/>
      <c r="B210" s="48"/>
    </row>
    <row r="211" spans="1:2" ht="15.75" customHeight="1">
      <c r="A211" s="48"/>
      <c r="B211" s="48"/>
    </row>
    <row r="212" spans="1:2" ht="15.75" customHeight="1">
      <c r="A212" s="48"/>
      <c r="B212" s="48"/>
    </row>
    <row r="213" spans="1:2" ht="15.75" customHeight="1">
      <c r="A213" s="48"/>
      <c r="B213" s="48"/>
    </row>
    <row r="214" spans="1:2" ht="15.75" customHeight="1">
      <c r="A214" s="48"/>
      <c r="B214" s="48"/>
    </row>
    <row r="215" spans="1:2" ht="15.75" customHeight="1">
      <c r="A215" s="48"/>
      <c r="B215" s="48"/>
    </row>
    <row r="216" spans="1:2" ht="15.75" customHeight="1">
      <c r="A216" s="48"/>
      <c r="B216" s="48"/>
    </row>
    <row r="217" spans="1:2" ht="15.75" customHeight="1">
      <c r="A217" s="48"/>
      <c r="B217" s="48"/>
    </row>
    <row r="218" spans="1:2" ht="15.75" customHeight="1">
      <c r="A218" s="48"/>
      <c r="B218" s="48"/>
    </row>
    <row r="219" spans="1:2" ht="15.75" customHeight="1">
      <c r="A219" s="48"/>
      <c r="B219" s="48"/>
    </row>
    <row r="220" spans="1:2" ht="15.75" customHeight="1">
      <c r="A220" s="48"/>
      <c r="B220" s="48"/>
    </row>
    <row r="221" spans="1:2" ht="15.75" customHeight="1">
      <c r="A221" s="48"/>
      <c r="B221" s="48"/>
    </row>
    <row r="222" spans="1:2" ht="15.75" customHeight="1">
      <c r="A222" s="48"/>
      <c r="B222" s="48"/>
    </row>
    <row r="223" spans="1:2" ht="15.75" customHeight="1">
      <c r="A223" s="48"/>
      <c r="B223" s="48"/>
    </row>
    <row r="224" spans="1:2" ht="15.75" customHeight="1">
      <c r="A224" s="48"/>
      <c r="B224" s="48"/>
    </row>
    <row r="225" spans="1:2" ht="15.75" customHeight="1">
      <c r="A225" s="48"/>
      <c r="B225" s="48"/>
    </row>
    <row r="226" spans="1:2" ht="15.75" customHeight="1">
      <c r="A226" s="48"/>
      <c r="B226" s="48"/>
    </row>
    <row r="227" spans="1:2" ht="15.75" customHeight="1">
      <c r="A227" s="48"/>
      <c r="B227" s="48"/>
    </row>
    <row r="228" spans="1:2" ht="15.75" customHeight="1">
      <c r="A228" s="48"/>
      <c r="B228" s="48"/>
    </row>
    <row r="229" spans="1:2" ht="15.75" customHeight="1">
      <c r="A229" s="48"/>
      <c r="B229" s="48"/>
    </row>
    <row r="230" spans="1:2" ht="15.75" customHeight="1">
      <c r="A230" s="48"/>
      <c r="B230" s="48"/>
    </row>
    <row r="231" spans="1:2" ht="15.75" customHeight="1">
      <c r="A231" s="48"/>
      <c r="B231" s="48"/>
    </row>
    <row r="232" spans="1:2" ht="15.75" customHeight="1">
      <c r="A232" s="48"/>
      <c r="B232" s="48"/>
    </row>
    <row r="233" spans="1:2" ht="15.75" customHeight="1">
      <c r="A233" s="48"/>
      <c r="B233" s="48"/>
    </row>
    <row r="234" spans="1:2" ht="15.75" customHeight="1">
      <c r="A234" s="48"/>
      <c r="B234" s="48"/>
    </row>
    <row r="235" spans="1:2" ht="15.75" customHeight="1">
      <c r="A235" s="48"/>
      <c r="B235" s="48"/>
    </row>
    <row r="236" spans="1:2" ht="15.75" customHeight="1">
      <c r="A236" s="48"/>
      <c r="B236" s="48"/>
    </row>
    <row r="237" spans="1:2" ht="15.75" customHeight="1">
      <c r="A237" s="48"/>
      <c r="B237" s="48"/>
    </row>
    <row r="238" spans="1:2" ht="15.75" customHeight="1">
      <c r="A238" s="48"/>
      <c r="B238" s="48"/>
    </row>
    <row r="239" spans="1:2" ht="15.75" customHeight="1">
      <c r="A239" s="48"/>
      <c r="B239" s="48"/>
    </row>
    <row r="240" spans="1:2" ht="15.75" customHeight="1">
      <c r="A240" s="48"/>
      <c r="B240" s="48"/>
    </row>
    <row r="241" spans="1:2" ht="15.75" customHeight="1">
      <c r="A241" s="48"/>
      <c r="B241" s="48"/>
    </row>
    <row r="242" spans="1:2" ht="15.75" customHeight="1">
      <c r="A242" s="48"/>
      <c r="B242" s="48"/>
    </row>
    <row r="243" spans="1:2" ht="15.75" customHeight="1">
      <c r="A243" s="48"/>
      <c r="B243" s="48"/>
    </row>
    <row r="244" spans="1:2" ht="15.75" customHeight="1">
      <c r="A244" s="48"/>
      <c r="B244" s="48"/>
    </row>
    <row r="245" spans="1:2" ht="15.75" customHeight="1">
      <c r="A245" s="48"/>
      <c r="B245" s="48"/>
    </row>
    <row r="246" spans="1:2" ht="15.75" customHeight="1">
      <c r="A246" s="48"/>
      <c r="B246" s="48"/>
    </row>
    <row r="247" spans="1:2" ht="15.75" customHeight="1">
      <c r="A247" s="48"/>
      <c r="B247" s="48"/>
    </row>
    <row r="248" spans="1:2" ht="15.75" customHeight="1">
      <c r="A248" s="48"/>
      <c r="B248" s="48"/>
    </row>
    <row r="249" spans="1:2" ht="15.75" customHeight="1">
      <c r="A249" s="48"/>
      <c r="B249" s="48"/>
    </row>
    <row r="250" spans="1:2" ht="15.75" customHeight="1">
      <c r="A250" s="48"/>
      <c r="B250" s="48"/>
    </row>
    <row r="251" spans="1:2" ht="15.75" customHeight="1">
      <c r="A251" s="48"/>
      <c r="B251" s="48"/>
    </row>
    <row r="252" spans="1:2" ht="15.75" customHeight="1">
      <c r="A252" s="48"/>
      <c r="B252" s="48"/>
    </row>
    <row r="253" spans="1:2" ht="15.75" customHeight="1">
      <c r="A253" s="48"/>
      <c r="B253" s="48"/>
    </row>
    <row r="254" spans="1:2" ht="15.75" customHeight="1">
      <c r="A254" s="48"/>
      <c r="B254" s="48"/>
    </row>
    <row r="255" spans="1:2" ht="15.75" customHeight="1">
      <c r="A255" s="48"/>
      <c r="B255" s="48"/>
    </row>
    <row r="256" spans="1:2" ht="15.75" customHeight="1">
      <c r="A256" s="48"/>
      <c r="B256" s="48"/>
    </row>
    <row r="257" spans="1:2" ht="15.75" customHeight="1">
      <c r="A257" s="48"/>
      <c r="B257" s="48"/>
    </row>
    <row r="258" spans="1:2" ht="15.75" customHeight="1">
      <c r="A258" s="48"/>
      <c r="B258" s="48"/>
    </row>
    <row r="259" spans="1:2" ht="15.75" customHeight="1">
      <c r="A259" s="48"/>
      <c r="B259" s="48"/>
    </row>
    <row r="260" spans="1:2" ht="15.75" customHeight="1">
      <c r="A260" s="48"/>
      <c r="B260" s="48"/>
    </row>
    <row r="261" spans="1:2" ht="15.75" customHeight="1">
      <c r="A261" s="48"/>
      <c r="B261" s="48"/>
    </row>
    <row r="262" spans="1:2" ht="15.75" customHeight="1">
      <c r="A262" s="48"/>
      <c r="B262" s="48"/>
    </row>
    <row r="263" spans="1:2" ht="15.75" customHeight="1">
      <c r="A263" s="48"/>
      <c r="B263" s="48"/>
    </row>
    <row r="264" spans="1:2" ht="15.75" customHeight="1">
      <c r="A264" s="48"/>
      <c r="B264" s="48"/>
    </row>
    <row r="265" spans="1:2" ht="15.75" customHeight="1">
      <c r="A265" s="48"/>
      <c r="B265" s="48"/>
    </row>
    <row r="266" spans="1:2" ht="15.75" customHeight="1">
      <c r="A266" s="48"/>
      <c r="B266" s="48"/>
    </row>
    <row r="267" spans="1:2" ht="15.75" customHeight="1">
      <c r="A267" s="48"/>
      <c r="B267" s="48"/>
    </row>
    <row r="268" spans="1:2" ht="15.75" customHeight="1">
      <c r="A268" s="48"/>
      <c r="B268" s="48"/>
    </row>
    <row r="269" spans="1:2" ht="15.75" customHeight="1">
      <c r="A269" s="48"/>
      <c r="B269" s="48"/>
    </row>
    <row r="270" spans="1:2" ht="15.75" customHeight="1">
      <c r="A270" s="48"/>
      <c r="B270" s="48"/>
    </row>
    <row r="271" spans="1:2" ht="15.75" customHeight="1">
      <c r="A271" s="48"/>
      <c r="B271" s="48"/>
    </row>
    <row r="272" spans="1:2" ht="15.75" customHeight="1">
      <c r="A272" s="48"/>
      <c r="B272" s="48"/>
    </row>
    <row r="273" spans="1:2" ht="15.75" customHeight="1">
      <c r="A273" s="48"/>
      <c r="B273" s="48"/>
    </row>
    <row r="274" spans="1:2" ht="15.75" customHeight="1">
      <c r="A274" s="48"/>
      <c r="B274" s="48"/>
    </row>
    <row r="275" spans="1:2" ht="15.75" customHeight="1">
      <c r="A275" s="48"/>
      <c r="B275" s="48"/>
    </row>
    <row r="276" spans="1:2" ht="15.75" customHeight="1">
      <c r="A276" s="48"/>
      <c r="B276" s="48"/>
    </row>
    <row r="277" spans="1:2" ht="15.75" customHeight="1">
      <c r="A277" s="48"/>
      <c r="B277" s="48"/>
    </row>
    <row r="278" spans="1:2" ht="15.75" customHeight="1">
      <c r="A278" s="48"/>
      <c r="B278" s="48"/>
    </row>
    <row r="279" spans="1:2" ht="15.75" customHeight="1">
      <c r="A279" s="48"/>
      <c r="B279" s="48"/>
    </row>
    <row r="280" spans="1:2" ht="15.75" customHeight="1">
      <c r="A280" s="48"/>
      <c r="B280" s="48"/>
    </row>
    <row r="281" spans="1:2" ht="15.75" customHeight="1">
      <c r="A281" s="48"/>
      <c r="B281" s="48"/>
    </row>
    <row r="282" spans="1:2" ht="15.75" customHeight="1">
      <c r="A282" s="48"/>
      <c r="B282" s="48"/>
    </row>
    <row r="283" spans="1:2" ht="15.75" customHeight="1">
      <c r="A283" s="48"/>
      <c r="B283" s="48"/>
    </row>
    <row r="284" spans="1:2" ht="15.75" customHeight="1">
      <c r="A284" s="48"/>
      <c r="B284" s="48"/>
    </row>
    <row r="285" spans="1:2" ht="15.75" customHeight="1">
      <c r="A285" s="48"/>
      <c r="B285" s="48"/>
    </row>
    <row r="286" spans="1:2" ht="15.75" customHeight="1">
      <c r="A286" s="48"/>
      <c r="B286" s="48"/>
    </row>
    <row r="287" spans="1:2" ht="15.75" customHeight="1">
      <c r="A287" s="48"/>
      <c r="B287" s="48"/>
    </row>
    <row r="288" spans="1:2" ht="15.75" customHeight="1">
      <c r="A288" s="48"/>
      <c r="B288" s="48"/>
    </row>
    <row r="289" spans="1:2" ht="15.75" customHeight="1">
      <c r="A289" s="48"/>
      <c r="B289" s="48"/>
    </row>
    <row r="290" spans="1:2" ht="15.75" customHeight="1">
      <c r="A290" s="48"/>
      <c r="B290" s="48"/>
    </row>
    <row r="291" spans="1:2" ht="15.75" customHeight="1">
      <c r="A291" s="48"/>
      <c r="B291" s="48"/>
    </row>
    <row r="292" spans="1:2" ht="15.75" customHeight="1">
      <c r="A292" s="48"/>
      <c r="B292" s="48"/>
    </row>
    <row r="293" spans="1:2" ht="15.75" customHeight="1">
      <c r="A293" s="48"/>
      <c r="B293" s="48"/>
    </row>
    <row r="294" spans="1:2" ht="15.75" customHeight="1">
      <c r="A294" s="48"/>
      <c r="B294" s="48"/>
    </row>
    <row r="295" spans="1:2" ht="15.75" customHeight="1">
      <c r="A295" s="48"/>
      <c r="B295" s="48"/>
    </row>
    <row r="296" spans="1:2" ht="15.75" customHeight="1">
      <c r="A296" s="48"/>
      <c r="B296" s="48"/>
    </row>
    <row r="297" spans="1:2" ht="15.75" customHeight="1">
      <c r="A297" s="48"/>
      <c r="B297" s="48"/>
    </row>
    <row r="298" spans="1:2" ht="15.75" customHeight="1">
      <c r="A298" s="48"/>
      <c r="B298" s="48"/>
    </row>
    <row r="299" spans="1:2" ht="15.75" customHeight="1">
      <c r="A299" s="48"/>
      <c r="B299" s="48"/>
    </row>
    <row r="300" spans="1:2" ht="15.75" customHeight="1">
      <c r="A300" s="48"/>
      <c r="B300" s="48"/>
    </row>
    <row r="301" spans="1:2" ht="15.75" customHeight="1">
      <c r="A301" s="48"/>
      <c r="B301" s="48"/>
    </row>
    <row r="302" spans="1:2" ht="15.75" customHeight="1">
      <c r="A302" s="48"/>
      <c r="B302" s="48"/>
    </row>
    <row r="303" spans="1:2" ht="15.75" customHeight="1">
      <c r="A303" s="48"/>
      <c r="B303" s="48"/>
    </row>
    <row r="304" spans="1:2" ht="15.75" customHeight="1">
      <c r="A304" s="48"/>
      <c r="B304" s="48"/>
    </row>
    <row r="305" spans="1:2" ht="15.75" customHeight="1">
      <c r="A305" s="48"/>
      <c r="B305" s="48"/>
    </row>
    <row r="306" spans="1:2" ht="15.75" customHeight="1">
      <c r="A306" s="48"/>
      <c r="B306" s="48"/>
    </row>
    <row r="307" spans="1:2" ht="15.75" customHeight="1">
      <c r="A307" s="48"/>
      <c r="B307" s="48"/>
    </row>
    <row r="308" spans="1:2" ht="15.75" customHeight="1">
      <c r="A308" s="48"/>
      <c r="B308" s="48"/>
    </row>
    <row r="309" spans="1:2" ht="15.75" customHeight="1">
      <c r="A309" s="48"/>
      <c r="B309" s="48"/>
    </row>
    <row r="310" spans="1:2" ht="15.75" customHeight="1">
      <c r="A310" s="48"/>
      <c r="B310" s="48"/>
    </row>
    <row r="311" spans="1:2" ht="15.75" customHeight="1">
      <c r="A311" s="48"/>
      <c r="B311" s="48"/>
    </row>
    <row r="312" spans="1:2" ht="15.75" customHeight="1">
      <c r="A312" s="48"/>
      <c r="B312" s="48"/>
    </row>
    <row r="313" spans="1:2" ht="15.75" customHeight="1">
      <c r="A313" s="48"/>
      <c r="B313" s="48"/>
    </row>
    <row r="314" spans="1:2" ht="15.75" customHeight="1">
      <c r="A314" s="48"/>
      <c r="B314" s="48"/>
    </row>
    <row r="315" spans="1:2" ht="15.75" customHeight="1">
      <c r="A315" s="48"/>
      <c r="B315" s="48"/>
    </row>
    <row r="316" spans="1:2" ht="15.75" customHeight="1">
      <c r="A316" s="48"/>
      <c r="B316" s="48"/>
    </row>
    <row r="317" spans="1:2" ht="15.75" customHeight="1">
      <c r="A317" s="48"/>
      <c r="B317" s="48"/>
    </row>
    <row r="318" spans="1:2" ht="15.75" customHeight="1">
      <c r="A318" s="48"/>
      <c r="B318" s="48"/>
    </row>
    <row r="319" spans="1:2" ht="15.75" customHeight="1">
      <c r="A319" s="48"/>
      <c r="B319" s="48"/>
    </row>
    <row r="320" spans="1:2" ht="15.75" customHeight="1">
      <c r="A320" s="48"/>
      <c r="B320" s="48"/>
    </row>
    <row r="321" spans="1:2" ht="15.75" customHeight="1">
      <c r="A321" s="48"/>
      <c r="B321" s="48"/>
    </row>
    <row r="322" spans="1:2" ht="15.75" customHeight="1">
      <c r="A322" s="48"/>
      <c r="B322" s="48"/>
    </row>
    <row r="323" spans="1:2" ht="15.75" customHeight="1">
      <c r="A323" s="48"/>
      <c r="B323" s="48"/>
    </row>
    <row r="324" spans="1:2" ht="15.75" customHeight="1">
      <c r="A324" s="48"/>
      <c r="B324" s="48"/>
    </row>
    <row r="325" spans="1:2" ht="15.75" customHeight="1">
      <c r="A325" s="48"/>
      <c r="B325" s="48"/>
    </row>
    <row r="326" spans="1:2" ht="15.75" customHeight="1">
      <c r="A326" s="48"/>
      <c r="B326" s="48"/>
    </row>
    <row r="327" spans="1:2" ht="15.75" customHeight="1">
      <c r="A327" s="48"/>
      <c r="B327" s="48"/>
    </row>
    <row r="328" spans="1:2" ht="15.75" customHeight="1">
      <c r="A328" s="48"/>
      <c r="B328" s="48"/>
    </row>
    <row r="329" spans="1:2" ht="15.75" customHeight="1">
      <c r="A329" s="48"/>
      <c r="B329" s="48"/>
    </row>
    <row r="330" spans="1:2" ht="15.75" customHeight="1">
      <c r="A330" s="48"/>
      <c r="B330" s="48"/>
    </row>
    <row r="331" spans="1:2" ht="15.75" customHeight="1">
      <c r="A331" s="48"/>
      <c r="B331" s="48"/>
    </row>
    <row r="332" spans="1:2" ht="15.75" customHeight="1">
      <c r="A332" s="48"/>
      <c r="B332" s="48"/>
    </row>
    <row r="333" spans="1:2" ht="15.75" customHeight="1">
      <c r="A333" s="48"/>
      <c r="B333" s="48"/>
    </row>
    <row r="334" spans="1:2" ht="15.75" customHeight="1">
      <c r="A334" s="48"/>
      <c r="B334" s="48"/>
    </row>
    <row r="335" spans="1:2" ht="15.75" customHeight="1">
      <c r="A335" s="48"/>
      <c r="B335" s="48"/>
    </row>
    <row r="336" spans="1:2" ht="15.75" customHeight="1">
      <c r="A336" s="48"/>
      <c r="B336" s="48"/>
    </row>
    <row r="337" spans="1:2" ht="15.75" customHeight="1">
      <c r="A337" s="48"/>
      <c r="B337" s="48"/>
    </row>
    <row r="338" spans="1:2" ht="15.75" customHeight="1">
      <c r="A338" s="48"/>
      <c r="B338" s="48"/>
    </row>
    <row r="339" spans="1:2" ht="15.75" customHeight="1">
      <c r="A339" s="48"/>
      <c r="B339" s="48"/>
    </row>
    <row r="340" spans="1:2" ht="15.75" customHeight="1">
      <c r="A340" s="48"/>
      <c r="B340" s="48"/>
    </row>
    <row r="341" spans="1:2" ht="15.75" customHeight="1">
      <c r="A341" s="48"/>
      <c r="B341" s="48"/>
    </row>
    <row r="342" spans="1:2" ht="15.75" customHeight="1">
      <c r="A342" s="48"/>
      <c r="B342" s="48"/>
    </row>
    <row r="343" spans="1:2" ht="15.75" customHeight="1">
      <c r="A343" s="48"/>
      <c r="B343" s="48"/>
    </row>
    <row r="344" spans="1:2" ht="15.75" customHeight="1">
      <c r="A344" s="48"/>
      <c r="B344" s="48"/>
    </row>
    <row r="345" spans="1:2" ht="15.75" customHeight="1">
      <c r="A345" s="48"/>
      <c r="B345" s="48"/>
    </row>
    <row r="346" spans="1:2" ht="15.75" customHeight="1">
      <c r="A346" s="48"/>
      <c r="B346" s="48"/>
    </row>
    <row r="347" spans="1:2" ht="15.75" customHeight="1">
      <c r="A347" s="48"/>
      <c r="B347" s="48"/>
    </row>
    <row r="348" spans="1:2" ht="15.75" customHeight="1">
      <c r="A348" s="48"/>
      <c r="B348" s="48"/>
    </row>
    <row r="349" spans="1:2" ht="15.75" customHeight="1">
      <c r="A349" s="48"/>
      <c r="B349" s="48"/>
    </row>
    <row r="350" spans="1:2" ht="15.75" customHeight="1">
      <c r="A350" s="48"/>
      <c r="B350" s="48"/>
    </row>
    <row r="351" spans="1:2" ht="15.75" customHeight="1">
      <c r="A351" s="48"/>
      <c r="B351" s="48"/>
    </row>
    <row r="352" spans="1:2" ht="15.75" customHeight="1">
      <c r="A352" s="48"/>
      <c r="B352" s="48"/>
    </row>
    <row r="353" spans="1:2" ht="15.75" customHeight="1">
      <c r="A353" s="48"/>
      <c r="B353" s="48"/>
    </row>
    <row r="354" spans="1:2" ht="15.75" customHeight="1">
      <c r="A354" s="48"/>
      <c r="B354" s="48"/>
    </row>
    <row r="355" spans="1:2" ht="15.75" customHeight="1">
      <c r="A355" s="48"/>
      <c r="B355" s="48"/>
    </row>
    <row r="356" spans="1:2" ht="15.75" customHeight="1">
      <c r="A356" s="48"/>
      <c r="B356" s="48"/>
    </row>
    <row r="357" spans="1:2" ht="15.75" customHeight="1">
      <c r="A357" s="48"/>
      <c r="B357" s="48"/>
    </row>
    <row r="358" spans="1:2" ht="15.75" customHeight="1">
      <c r="A358" s="48"/>
      <c r="B358" s="48"/>
    </row>
    <row r="359" spans="1:2" ht="15.75" customHeight="1">
      <c r="A359" s="48"/>
      <c r="B359" s="48"/>
    </row>
    <row r="360" spans="1:2" ht="15.75" customHeight="1">
      <c r="A360" s="48"/>
      <c r="B360" s="48"/>
    </row>
    <row r="361" spans="1:2" ht="15.75" customHeight="1">
      <c r="A361" s="48"/>
      <c r="B361" s="48"/>
    </row>
    <row r="362" spans="1:2" ht="15.75" customHeight="1">
      <c r="A362" s="48"/>
      <c r="B362" s="48"/>
    </row>
    <row r="363" spans="1:2" ht="15.75" customHeight="1">
      <c r="A363" s="48"/>
      <c r="B363" s="48"/>
    </row>
    <row r="364" spans="1:2" ht="15.75" customHeight="1">
      <c r="A364" s="48"/>
      <c r="B364" s="48"/>
    </row>
    <row r="365" spans="1:2" ht="15.75" customHeight="1">
      <c r="A365" s="48"/>
      <c r="B365" s="48"/>
    </row>
    <row r="366" spans="1:2" ht="15.75" customHeight="1">
      <c r="A366" s="48"/>
      <c r="B366" s="48"/>
    </row>
    <row r="367" spans="1:2" ht="15.75" customHeight="1">
      <c r="A367" s="48"/>
      <c r="B367" s="48"/>
    </row>
    <row r="368" spans="1:2" ht="15.75" customHeight="1">
      <c r="A368" s="48"/>
      <c r="B368" s="48"/>
    </row>
    <row r="369" spans="1:2" ht="15.75" customHeight="1">
      <c r="A369" s="48"/>
      <c r="B369" s="48"/>
    </row>
    <row r="370" spans="1:2" ht="15.75" customHeight="1">
      <c r="A370" s="48"/>
      <c r="B370" s="48"/>
    </row>
    <row r="371" spans="1:2" ht="15.75" customHeight="1">
      <c r="A371" s="48"/>
      <c r="B371" s="48"/>
    </row>
    <row r="372" spans="1:2" ht="15.75" customHeight="1">
      <c r="A372" s="48"/>
      <c r="B372" s="48"/>
    </row>
    <row r="373" spans="1:2" ht="15.75" customHeight="1">
      <c r="A373" s="48"/>
      <c r="B373" s="48"/>
    </row>
    <row r="374" spans="1:2" ht="15.75" customHeight="1">
      <c r="A374" s="48"/>
      <c r="B374" s="48"/>
    </row>
    <row r="375" spans="1:2" ht="15.75" customHeight="1">
      <c r="A375" s="48"/>
      <c r="B375" s="48"/>
    </row>
    <row r="376" spans="1:2" ht="15.75" customHeight="1">
      <c r="A376" s="48"/>
      <c r="B376" s="48"/>
    </row>
    <row r="377" spans="1:2" ht="15.75" customHeight="1">
      <c r="A377" s="48"/>
      <c r="B377" s="48"/>
    </row>
    <row r="378" spans="1:2" ht="15.75" customHeight="1">
      <c r="A378" s="48"/>
      <c r="B378" s="48"/>
    </row>
    <row r="379" spans="1:2" ht="15.75" customHeight="1">
      <c r="A379" s="48"/>
      <c r="B379" s="48"/>
    </row>
    <row r="380" spans="1:2" ht="15.75" customHeight="1">
      <c r="A380" s="48"/>
      <c r="B380" s="48"/>
    </row>
    <row r="381" spans="1:2" ht="15.75" customHeight="1">
      <c r="A381" s="48"/>
      <c r="B381" s="48"/>
    </row>
    <row r="382" spans="1:2" ht="15.75" customHeight="1">
      <c r="A382" s="48"/>
      <c r="B382" s="48"/>
    </row>
    <row r="383" spans="1:2" ht="15.75" customHeight="1">
      <c r="A383" s="48"/>
      <c r="B383" s="48"/>
    </row>
    <row r="384" spans="1:2" ht="15.75" customHeight="1">
      <c r="A384" s="48"/>
      <c r="B384" s="48"/>
    </row>
    <row r="385" spans="1:2" ht="15.75" customHeight="1">
      <c r="A385" s="48"/>
      <c r="B385" s="48"/>
    </row>
    <row r="386" spans="1:2" ht="15.75" customHeight="1">
      <c r="A386" s="48"/>
      <c r="B386" s="48"/>
    </row>
    <row r="387" spans="1:2" ht="15.75" customHeight="1">
      <c r="A387" s="48"/>
      <c r="B387" s="48"/>
    </row>
    <row r="388" spans="1:2" ht="15.75" customHeight="1">
      <c r="A388" s="48"/>
      <c r="B388" s="48"/>
    </row>
    <row r="389" spans="1:2" ht="15.75" customHeight="1">
      <c r="A389" s="48"/>
      <c r="B389" s="48"/>
    </row>
    <row r="390" spans="1:2" ht="15.75" customHeight="1">
      <c r="A390" s="48"/>
      <c r="B390" s="48"/>
    </row>
    <row r="391" spans="1:2" ht="15.75" customHeight="1">
      <c r="A391" s="48"/>
      <c r="B391" s="48"/>
    </row>
    <row r="392" spans="1:2" ht="15.75" customHeight="1">
      <c r="A392" s="48"/>
      <c r="B392" s="48"/>
    </row>
    <row r="393" spans="1:2" ht="15.75" customHeight="1">
      <c r="A393" s="48"/>
      <c r="B393" s="48"/>
    </row>
    <row r="394" spans="1:2" ht="15.75" customHeight="1">
      <c r="A394" s="48"/>
      <c r="B394" s="48"/>
    </row>
    <row r="395" spans="1:2" ht="15.75" customHeight="1">
      <c r="A395" s="48"/>
      <c r="B395" s="48"/>
    </row>
    <row r="396" spans="1:2" ht="15.75" customHeight="1">
      <c r="A396" s="48"/>
      <c r="B396" s="48"/>
    </row>
    <row r="397" spans="1:2" ht="15.75" customHeight="1">
      <c r="A397" s="48"/>
      <c r="B397" s="48"/>
    </row>
    <row r="398" spans="1:2" ht="15.75" customHeight="1">
      <c r="A398" s="48"/>
      <c r="B398" s="48"/>
    </row>
    <row r="399" spans="1:2" ht="15.75" customHeight="1">
      <c r="A399" s="48"/>
      <c r="B399" s="48"/>
    </row>
    <row r="400" spans="1:2" ht="15.75" customHeight="1">
      <c r="A400" s="48"/>
      <c r="B400" s="48"/>
    </row>
    <row r="401" spans="1:2" ht="15.75" customHeight="1">
      <c r="A401" s="48"/>
      <c r="B401" s="48"/>
    </row>
    <row r="402" spans="1:2" ht="15.75" customHeight="1">
      <c r="A402" s="48"/>
      <c r="B402" s="48"/>
    </row>
    <row r="403" spans="1:2" ht="15.75" customHeight="1">
      <c r="A403" s="48"/>
      <c r="B403" s="48"/>
    </row>
    <row r="404" spans="1:2" ht="15.75" customHeight="1">
      <c r="A404" s="48"/>
      <c r="B404" s="48"/>
    </row>
    <row r="405" spans="1:2" ht="15.75" customHeight="1">
      <c r="A405" s="48"/>
      <c r="B405" s="48"/>
    </row>
    <row r="406" spans="1:2" ht="15.75" customHeight="1">
      <c r="A406" s="48"/>
      <c r="B406" s="48"/>
    </row>
    <row r="407" spans="1:2" ht="15.75" customHeight="1">
      <c r="A407" s="48"/>
      <c r="B407" s="48"/>
    </row>
    <row r="408" spans="1:2" ht="15.75" customHeight="1">
      <c r="A408" s="48"/>
      <c r="B408" s="48"/>
    </row>
    <row r="409" spans="1:2" ht="15.75" customHeight="1">
      <c r="A409" s="48"/>
      <c r="B409" s="48"/>
    </row>
    <row r="410" spans="1:2" ht="15.75" customHeight="1">
      <c r="A410" s="48"/>
      <c r="B410" s="48"/>
    </row>
    <row r="411" spans="1:2" ht="15.75" customHeight="1">
      <c r="A411" s="48"/>
      <c r="B411" s="48"/>
    </row>
    <row r="412" spans="1:2" ht="15.75" customHeight="1">
      <c r="A412" s="48"/>
      <c r="B412" s="48"/>
    </row>
    <row r="413" spans="1:2" ht="15.75" customHeight="1">
      <c r="A413" s="48"/>
      <c r="B413" s="48"/>
    </row>
    <row r="414" spans="1:2" ht="15.75" customHeight="1">
      <c r="A414" s="48"/>
      <c r="B414" s="48"/>
    </row>
    <row r="415" spans="1:2" ht="15.75" customHeight="1">
      <c r="A415" s="48"/>
      <c r="B415" s="48"/>
    </row>
    <row r="416" spans="1:2" ht="15.75" customHeight="1">
      <c r="A416" s="48"/>
      <c r="B416" s="48"/>
    </row>
    <row r="417" spans="1:2" ht="15.75" customHeight="1">
      <c r="A417" s="48"/>
      <c r="B417" s="48"/>
    </row>
    <row r="418" spans="1:2" ht="15.75" customHeight="1">
      <c r="A418" s="48"/>
      <c r="B418" s="48"/>
    </row>
    <row r="419" spans="1:2" ht="15.75" customHeight="1">
      <c r="A419" s="48"/>
      <c r="B419" s="48"/>
    </row>
    <row r="420" spans="1:2" ht="15.75" customHeight="1">
      <c r="A420" s="48"/>
      <c r="B420" s="48"/>
    </row>
    <row r="421" spans="1:2" ht="15.75" customHeight="1">
      <c r="A421" s="48"/>
      <c r="B421" s="48"/>
    </row>
    <row r="422" spans="1:2" ht="15.75" customHeight="1">
      <c r="A422" s="48"/>
      <c r="B422" s="48"/>
    </row>
    <row r="423" spans="1:2" ht="15.75" customHeight="1">
      <c r="A423" s="48"/>
      <c r="B423" s="48"/>
    </row>
    <row r="424" spans="1:2" ht="15.75" customHeight="1">
      <c r="A424" s="48"/>
      <c r="B424" s="48"/>
    </row>
    <row r="425" spans="1:2" ht="15.75" customHeight="1">
      <c r="A425" s="48"/>
      <c r="B425" s="48"/>
    </row>
    <row r="426" spans="1:2" ht="15.75" customHeight="1">
      <c r="A426" s="48"/>
      <c r="B426" s="48"/>
    </row>
    <row r="427" spans="1:2" ht="15.75" customHeight="1">
      <c r="A427" s="48"/>
      <c r="B427" s="48"/>
    </row>
    <row r="428" spans="1:2" ht="15.75" customHeight="1">
      <c r="A428" s="48"/>
      <c r="B428" s="48"/>
    </row>
    <row r="429" spans="1:2" ht="15.75" customHeight="1">
      <c r="A429" s="48"/>
      <c r="B429" s="48"/>
    </row>
    <row r="430" spans="1:2" ht="15.75" customHeight="1">
      <c r="A430" s="48"/>
      <c r="B430" s="48"/>
    </row>
    <row r="431" spans="1:2" ht="15.75" customHeight="1">
      <c r="A431" s="48"/>
      <c r="B431" s="48"/>
    </row>
    <row r="432" spans="1:2" ht="15.75" customHeight="1">
      <c r="A432" s="48"/>
      <c r="B432" s="48"/>
    </row>
    <row r="433" spans="1:2" ht="15.75" customHeight="1">
      <c r="A433" s="48"/>
      <c r="B433" s="48"/>
    </row>
    <row r="434" spans="1:2" ht="15.75" customHeight="1">
      <c r="A434" s="48"/>
      <c r="B434" s="48"/>
    </row>
    <row r="435" spans="1:2" ht="15.75" customHeight="1">
      <c r="A435" s="48"/>
      <c r="B435" s="48"/>
    </row>
    <row r="436" spans="1:2" ht="15.75" customHeight="1">
      <c r="A436" s="48"/>
      <c r="B436" s="48"/>
    </row>
    <row r="437" spans="1:2" ht="15.75" customHeight="1">
      <c r="A437" s="48"/>
      <c r="B437" s="48"/>
    </row>
    <row r="438" spans="1:2" ht="15.75" customHeight="1">
      <c r="A438" s="48"/>
      <c r="B438" s="48"/>
    </row>
    <row r="439" spans="1:2" ht="15.75" customHeight="1">
      <c r="A439" s="48"/>
      <c r="B439" s="48"/>
    </row>
    <row r="440" spans="1:2" ht="15.75" customHeight="1">
      <c r="A440" s="48"/>
      <c r="B440" s="48"/>
    </row>
    <row r="441" spans="1:2" ht="15.75" customHeight="1">
      <c r="A441" s="48"/>
      <c r="B441" s="48"/>
    </row>
    <row r="442" spans="1:2" ht="15.75" customHeight="1">
      <c r="A442" s="48"/>
      <c r="B442" s="48"/>
    </row>
    <row r="443" spans="1:2" ht="15.75" customHeight="1">
      <c r="A443" s="48"/>
      <c r="B443" s="48"/>
    </row>
    <row r="444" spans="1:2" ht="15.75" customHeight="1">
      <c r="A444" s="48"/>
      <c r="B444" s="48"/>
    </row>
    <row r="445" spans="1:2" ht="15.75" customHeight="1">
      <c r="A445" s="48"/>
      <c r="B445" s="48"/>
    </row>
    <row r="446" spans="1:2" ht="15.75" customHeight="1">
      <c r="A446" s="48"/>
      <c r="B446" s="48"/>
    </row>
    <row r="447" spans="1:2" ht="15.75" customHeight="1">
      <c r="A447" s="48"/>
      <c r="B447" s="48"/>
    </row>
    <row r="448" spans="1:2" ht="15.75" customHeight="1">
      <c r="A448" s="48"/>
      <c r="B448" s="48"/>
    </row>
    <row r="449" spans="1:2" ht="15.75" customHeight="1">
      <c r="A449" s="48"/>
      <c r="B449" s="48"/>
    </row>
    <row r="450" spans="1:2" ht="15.75" customHeight="1">
      <c r="A450" s="48"/>
      <c r="B450" s="48"/>
    </row>
    <row r="451" spans="1:2" ht="15.75" customHeight="1">
      <c r="A451" s="48"/>
      <c r="B451" s="48"/>
    </row>
    <row r="452" spans="1:2" ht="15.75" customHeight="1">
      <c r="A452" s="48"/>
      <c r="B452" s="48"/>
    </row>
    <row r="453" spans="1:2" ht="15.75" customHeight="1">
      <c r="A453" s="48"/>
      <c r="B453" s="48"/>
    </row>
    <row r="454" spans="1:2" ht="15.75" customHeight="1">
      <c r="A454" s="48"/>
      <c r="B454" s="48"/>
    </row>
    <row r="455" spans="1:2" ht="15.75" customHeight="1">
      <c r="A455" s="48"/>
      <c r="B455" s="48"/>
    </row>
    <row r="456" spans="1:2" ht="15.75" customHeight="1">
      <c r="A456" s="48"/>
      <c r="B456" s="48"/>
    </row>
    <row r="457" spans="1:2" ht="15.75" customHeight="1">
      <c r="A457" s="48"/>
      <c r="B457" s="48"/>
    </row>
    <row r="458" spans="1:2" ht="15.75" customHeight="1">
      <c r="A458" s="48"/>
      <c r="B458" s="48"/>
    </row>
    <row r="459" spans="1:2" ht="15.75" customHeight="1">
      <c r="A459" s="48"/>
      <c r="B459" s="48"/>
    </row>
    <row r="460" spans="1:2" ht="15.75" customHeight="1">
      <c r="A460" s="48"/>
      <c r="B460" s="48"/>
    </row>
    <row r="461" spans="1:2" ht="15.75" customHeight="1">
      <c r="A461" s="48"/>
      <c r="B461" s="48"/>
    </row>
    <row r="462" spans="1:2" ht="15.75" customHeight="1">
      <c r="A462" s="48"/>
      <c r="B462" s="48"/>
    </row>
    <row r="463" spans="1:2" ht="15.75" customHeight="1">
      <c r="A463" s="48"/>
      <c r="B463" s="48"/>
    </row>
    <row r="464" spans="1:2" ht="15.75" customHeight="1">
      <c r="A464" s="48"/>
      <c r="B464" s="48"/>
    </row>
    <row r="465" spans="1:2" ht="15.75" customHeight="1">
      <c r="A465" s="48"/>
      <c r="B465" s="48"/>
    </row>
    <row r="466" spans="1:2" ht="15.75" customHeight="1">
      <c r="A466" s="48"/>
      <c r="B466" s="48"/>
    </row>
    <row r="467" spans="1:2" ht="15.75" customHeight="1">
      <c r="A467" s="48"/>
      <c r="B467" s="48"/>
    </row>
    <row r="468" spans="1:2" ht="15.75" customHeight="1">
      <c r="A468" s="48"/>
      <c r="B468" s="48"/>
    </row>
    <row r="469" spans="1:2" ht="15.75" customHeight="1">
      <c r="A469" s="48"/>
      <c r="B469" s="48"/>
    </row>
    <row r="470" spans="1:2" ht="15.75" customHeight="1">
      <c r="A470" s="48"/>
      <c r="B470" s="48"/>
    </row>
    <row r="471" spans="1:2" ht="15.75" customHeight="1">
      <c r="A471" s="48"/>
      <c r="B471" s="48"/>
    </row>
    <row r="472" spans="1:2" ht="15.75" customHeight="1">
      <c r="A472" s="48"/>
      <c r="B472" s="48"/>
    </row>
    <row r="473" spans="1:2" ht="15.75" customHeight="1">
      <c r="A473" s="48"/>
      <c r="B473" s="48"/>
    </row>
    <row r="474" spans="1:2" ht="15.75" customHeight="1">
      <c r="A474" s="48"/>
      <c r="B474" s="48"/>
    </row>
    <row r="475" spans="1:2" ht="15.75" customHeight="1">
      <c r="A475" s="48"/>
      <c r="B475" s="48"/>
    </row>
    <row r="476" spans="1:2" ht="15.75" customHeight="1">
      <c r="A476" s="48"/>
      <c r="B476" s="48"/>
    </row>
    <row r="477" spans="1:2" ht="15.75" customHeight="1">
      <c r="A477" s="48"/>
      <c r="B477" s="48"/>
    </row>
    <row r="478" spans="1:2" ht="15.75" customHeight="1">
      <c r="A478" s="48"/>
      <c r="B478" s="48"/>
    </row>
    <row r="479" spans="1:2" ht="15.75" customHeight="1">
      <c r="A479" s="48"/>
      <c r="B479" s="48"/>
    </row>
    <row r="480" spans="1:2" ht="15.75" customHeight="1">
      <c r="A480" s="48"/>
      <c r="B480" s="48"/>
    </row>
    <row r="481" spans="1:2" ht="15.75" customHeight="1">
      <c r="A481" s="48"/>
      <c r="B481" s="48"/>
    </row>
    <row r="482" spans="1:2" ht="15.75" customHeight="1">
      <c r="A482" s="48"/>
      <c r="B482" s="48"/>
    </row>
    <row r="483" spans="1:2" ht="15.75" customHeight="1">
      <c r="A483" s="48"/>
      <c r="B483" s="48"/>
    </row>
    <row r="484" spans="1:2" ht="15.75" customHeight="1">
      <c r="A484" s="48"/>
      <c r="B484" s="48"/>
    </row>
    <row r="485" spans="1:2" ht="15.75" customHeight="1">
      <c r="A485" s="48"/>
      <c r="B485" s="48"/>
    </row>
    <row r="486" spans="1:2" ht="15.75" customHeight="1">
      <c r="A486" s="48"/>
      <c r="B486" s="48"/>
    </row>
    <row r="487" spans="1:2" ht="15.75" customHeight="1">
      <c r="A487" s="48"/>
      <c r="B487" s="48"/>
    </row>
    <row r="488" spans="1:2" ht="15.75" customHeight="1">
      <c r="A488" s="48"/>
      <c r="B488" s="48"/>
    </row>
    <row r="489" spans="1:2" ht="15.75" customHeight="1">
      <c r="A489" s="48"/>
      <c r="B489" s="48"/>
    </row>
    <row r="490" spans="1:2" ht="15.75" customHeight="1">
      <c r="A490" s="48"/>
      <c r="B490" s="48"/>
    </row>
    <row r="491" spans="1:2" ht="15.75" customHeight="1">
      <c r="A491" s="48"/>
      <c r="B491" s="48"/>
    </row>
    <row r="492" spans="1:2" ht="15.75" customHeight="1">
      <c r="A492" s="48"/>
      <c r="B492" s="48"/>
    </row>
    <row r="493" spans="1:2" ht="15.75" customHeight="1">
      <c r="A493" s="48"/>
      <c r="B493" s="48"/>
    </row>
    <row r="494" spans="1:2" ht="15.75" customHeight="1">
      <c r="A494" s="48"/>
      <c r="B494" s="48"/>
    </row>
    <row r="495" spans="1:2" ht="15.75" customHeight="1">
      <c r="A495" s="48"/>
      <c r="B495" s="48"/>
    </row>
    <row r="496" spans="1:2" ht="15.75" customHeight="1">
      <c r="A496" s="48"/>
      <c r="B496" s="48"/>
    </row>
    <row r="497" spans="1:2" ht="15.75" customHeight="1">
      <c r="A497" s="48"/>
      <c r="B497" s="48"/>
    </row>
    <row r="498" spans="1:2" ht="15.75" customHeight="1">
      <c r="A498" s="48"/>
      <c r="B498" s="48"/>
    </row>
    <row r="499" spans="1:2" ht="15.75" customHeight="1">
      <c r="A499" s="48"/>
      <c r="B499" s="48"/>
    </row>
    <row r="500" spans="1:2" ht="15.75" customHeight="1">
      <c r="A500" s="48"/>
      <c r="B500" s="48"/>
    </row>
    <row r="501" spans="1:2" ht="15.75" customHeight="1">
      <c r="A501" s="48"/>
      <c r="B501" s="48"/>
    </row>
    <row r="502" spans="1:2" ht="15.75" customHeight="1">
      <c r="A502" s="48"/>
      <c r="B502" s="48"/>
    </row>
    <row r="503" spans="1:2" ht="15.75" customHeight="1">
      <c r="A503" s="48"/>
      <c r="B503" s="48"/>
    </row>
    <row r="504" spans="1:2" ht="15.75" customHeight="1">
      <c r="A504" s="48"/>
      <c r="B504" s="48"/>
    </row>
    <row r="505" spans="1:2" ht="15.75" customHeight="1">
      <c r="A505" s="48"/>
      <c r="B505" s="48"/>
    </row>
    <row r="506" spans="1:2" ht="15.75" customHeight="1">
      <c r="A506" s="48"/>
      <c r="B506" s="48"/>
    </row>
    <row r="507" spans="1:2" ht="15.75" customHeight="1">
      <c r="A507" s="48"/>
      <c r="B507" s="48"/>
    </row>
    <row r="508" spans="1:2" ht="15.75" customHeight="1">
      <c r="A508" s="48"/>
      <c r="B508" s="48"/>
    </row>
    <row r="509" spans="1:2" ht="15.75" customHeight="1">
      <c r="A509" s="48"/>
      <c r="B509" s="48"/>
    </row>
    <row r="510" spans="1:2" ht="15.75" customHeight="1">
      <c r="A510" s="48"/>
      <c r="B510" s="48"/>
    </row>
    <row r="511" spans="1:2" ht="15.75" customHeight="1">
      <c r="A511" s="48"/>
      <c r="B511" s="48"/>
    </row>
    <row r="512" spans="1:2" ht="15.75" customHeight="1">
      <c r="A512" s="48"/>
      <c r="B512" s="48"/>
    </row>
    <row r="513" spans="1:2" ht="15.75" customHeight="1">
      <c r="A513" s="48"/>
      <c r="B513" s="48"/>
    </row>
    <row r="514" spans="1:2" ht="15.75" customHeight="1">
      <c r="A514" s="48"/>
      <c r="B514" s="48"/>
    </row>
    <row r="515" spans="1:2" ht="15.75" customHeight="1">
      <c r="A515" s="48"/>
      <c r="B515" s="48"/>
    </row>
    <row r="516" spans="1:2" ht="15.75" customHeight="1">
      <c r="A516" s="48"/>
      <c r="B516" s="48"/>
    </row>
    <row r="517" spans="1:2" ht="15.75" customHeight="1">
      <c r="A517" s="48"/>
      <c r="B517" s="48"/>
    </row>
    <row r="518" spans="1:2" ht="15.75" customHeight="1">
      <c r="A518" s="48"/>
      <c r="B518" s="48"/>
    </row>
    <row r="519" spans="1:2" ht="15.75" customHeight="1">
      <c r="A519" s="48"/>
      <c r="B519" s="48"/>
    </row>
    <row r="520" spans="1:2" ht="15.75" customHeight="1">
      <c r="A520" s="48"/>
      <c r="B520" s="48"/>
    </row>
    <row r="521" spans="1:2" ht="15.75" customHeight="1">
      <c r="A521" s="48"/>
      <c r="B521" s="48"/>
    </row>
    <row r="522" spans="1:2" ht="15.75" customHeight="1">
      <c r="A522" s="48"/>
      <c r="B522" s="48"/>
    </row>
    <row r="523" spans="1:2" ht="15.75" customHeight="1">
      <c r="A523" s="48"/>
      <c r="B523" s="48"/>
    </row>
    <row r="524" spans="1:2" ht="15.75" customHeight="1">
      <c r="A524" s="48"/>
      <c r="B524" s="48"/>
    </row>
    <row r="525" spans="1:2" ht="15.75" customHeight="1">
      <c r="A525" s="48"/>
      <c r="B525" s="48"/>
    </row>
    <row r="526" spans="1:2" ht="15.75" customHeight="1">
      <c r="A526" s="48"/>
      <c r="B526" s="48"/>
    </row>
    <row r="527" spans="1:2" ht="15.75" customHeight="1">
      <c r="A527" s="48"/>
      <c r="B527" s="48"/>
    </row>
    <row r="528" spans="1:2" ht="15.75" customHeight="1">
      <c r="A528" s="48"/>
      <c r="B528" s="48"/>
    </row>
    <row r="529" spans="1:2" ht="15.75" customHeight="1">
      <c r="A529" s="48"/>
      <c r="B529" s="48"/>
    </row>
    <row r="530" spans="1:2" ht="15.75" customHeight="1">
      <c r="A530" s="48"/>
      <c r="B530" s="48"/>
    </row>
    <row r="531" spans="1:2" ht="15.75" customHeight="1">
      <c r="A531" s="48"/>
      <c r="B531" s="48"/>
    </row>
    <row r="532" spans="1:2" ht="15.75" customHeight="1">
      <c r="A532" s="48"/>
      <c r="B532" s="48"/>
    </row>
    <row r="533" spans="1:2" ht="15.75" customHeight="1">
      <c r="A533" s="48"/>
      <c r="B533" s="48"/>
    </row>
    <row r="534" spans="1:2" ht="15.75" customHeight="1">
      <c r="A534" s="48"/>
      <c r="B534" s="48"/>
    </row>
    <row r="535" spans="1:2" ht="15.75" customHeight="1">
      <c r="A535" s="48"/>
      <c r="B535" s="48"/>
    </row>
    <row r="536" spans="1:2" ht="15.75" customHeight="1">
      <c r="A536" s="48"/>
      <c r="B536" s="48"/>
    </row>
    <row r="537" spans="1:2" ht="15.75" customHeight="1">
      <c r="A537" s="48"/>
      <c r="B537" s="48"/>
    </row>
    <row r="538" spans="1:2" ht="15.75" customHeight="1">
      <c r="A538" s="48"/>
      <c r="B538" s="48"/>
    </row>
    <row r="539" spans="1:2" ht="15.75" customHeight="1">
      <c r="A539" s="48"/>
      <c r="B539" s="48"/>
    </row>
    <row r="540" spans="1:2" ht="15.75" customHeight="1">
      <c r="A540" s="48"/>
      <c r="B540" s="48"/>
    </row>
    <row r="541" spans="1:2" ht="15.75" customHeight="1">
      <c r="A541" s="48"/>
      <c r="B541" s="48"/>
    </row>
    <row r="542" spans="1:2" ht="15.75" customHeight="1">
      <c r="A542" s="48"/>
      <c r="B542" s="48"/>
    </row>
    <row r="543" spans="1:2" ht="15.75" customHeight="1">
      <c r="A543" s="48"/>
      <c r="B543" s="48"/>
    </row>
    <row r="544" spans="1:2" ht="15.75" customHeight="1">
      <c r="A544" s="48"/>
      <c r="B544" s="48"/>
    </row>
    <row r="545" spans="1:2" ht="15.75" customHeight="1">
      <c r="A545" s="48"/>
      <c r="B545" s="48"/>
    </row>
    <row r="546" spans="1:2" ht="15.75" customHeight="1">
      <c r="A546" s="48"/>
      <c r="B546" s="48"/>
    </row>
    <row r="547" spans="1:2" ht="15.75" customHeight="1">
      <c r="A547" s="48"/>
      <c r="B547" s="48"/>
    </row>
    <row r="548" spans="1:2" ht="15.75" customHeight="1">
      <c r="A548" s="48"/>
      <c r="B548" s="48"/>
    </row>
    <row r="549" spans="1:2" ht="15.75" customHeight="1">
      <c r="A549" s="48"/>
      <c r="B549" s="48"/>
    </row>
    <row r="550" spans="1:2" ht="15.75" customHeight="1">
      <c r="A550" s="48"/>
      <c r="B550" s="48"/>
    </row>
    <row r="551" spans="1:2" ht="15.75" customHeight="1">
      <c r="A551" s="48"/>
      <c r="B551" s="48"/>
    </row>
    <row r="552" spans="1:2" ht="15.75" customHeight="1">
      <c r="A552" s="48"/>
      <c r="B552" s="48"/>
    </row>
    <row r="553" spans="1:2" ht="15.75" customHeight="1">
      <c r="A553" s="48"/>
      <c r="B553" s="48"/>
    </row>
    <row r="554" spans="1:2" ht="15.75" customHeight="1">
      <c r="A554" s="48"/>
      <c r="B554" s="48"/>
    </row>
    <row r="555" spans="1:2" ht="15.75" customHeight="1">
      <c r="A555" s="48"/>
      <c r="B555" s="48"/>
    </row>
    <row r="556" spans="1:2" ht="15.75" customHeight="1">
      <c r="A556" s="48"/>
      <c r="B556" s="48"/>
    </row>
    <row r="557" spans="1:2" ht="15.75" customHeight="1">
      <c r="A557" s="48"/>
      <c r="B557" s="48"/>
    </row>
    <row r="558" spans="1:2" ht="15.75" customHeight="1">
      <c r="A558" s="48"/>
      <c r="B558" s="48"/>
    </row>
    <row r="559" spans="1:2" ht="15.75" customHeight="1">
      <c r="A559" s="48"/>
      <c r="B559" s="48"/>
    </row>
    <row r="560" spans="1:2" ht="15.75" customHeight="1">
      <c r="A560" s="48"/>
      <c r="B560" s="48"/>
    </row>
    <row r="561" spans="1:2" ht="15.75" customHeight="1">
      <c r="A561" s="48"/>
      <c r="B561" s="48"/>
    </row>
    <row r="562" spans="1:2" ht="15.75" customHeight="1">
      <c r="A562" s="48"/>
      <c r="B562" s="48"/>
    </row>
    <row r="563" spans="1:2" ht="15.75" customHeight="1">
      <c r="A563" s="48"/>
      <c r="B563" s="48"/>
    </row>
    <row r="564" spans="1:2" ht="15.75" customHeight="1">
      <c r="A564" s="48"/>
      <c r="B564" s="48"/>
    </row>
    <row r="565" spans="1:2" ht="15.75" customHeight="1">
      <c r="A565" s="48"/>
      <c r="B565" s="48"/>
    </row>
    <row r="566" spans="1:2" ht="15.75" customHeight="1">
      <c r="A566" s="48"/>
      <c r="B566" s="48"/>
    </row>
    <row r="567" spans="1:2" ht="15.75" customHeight="1">
      <c r="A567" s="48"/>
      <c r="B567" s="48"/>
    </row>
    <row r="568" spans="1:2" ht="15.75" customHeight="1">
      <c r="A568" s="48"/>
      <c r="B568" s="48"/>
    </row>
    <row r="569" spans="1:2" ht="15.75" customHeight="1">
      <c r="A569" s="48"/>
      <c r="B569" s="48"/>
    </row>
    <row r="570" spans="1:2" ht="15.75" customHeight="1">
      <c r="A570" s="48"/>
      <c r="B570" s="48"/>
    </row>
    <row r="571" spans="1:2" ht="15.75" customHeight="1">
      <c r="A571" s="48"/>
      <c r="B571" s="48"/>
    </row>
    <row r="572" spans="1:2" ht="15.75" customHeight="1">
      <c r="A572" s="48"/>
      <c r="B572" s="48"/>
    </row>
    <row r="573" spans="1:2" ht="15.75" customHeight="1">
      <c r="A573" s="48"/>
      <c r="B573" s="48"/>
    </row>
    <row r="574" spans="1:2" ht="15.75" customHeight="1">
      <c r="A574" s="48"/>
      <c r="B574" s="48"/>
    </row>
    <row r="575" spans="1:2" ht="15.75" customHeight="1">
      <c r="A575" s="48"/>
      <c r="B575" s="48"/>
    </row>
    <row r="576" spans="1:2" ht="15.75" customHeight="1">
      <c r="A576" s="48"/>
      <c r="B576" s="48"/>
    </row>
    <row r="577" spans="1:2" ht="15.75" customHeight="1">
      <c r="A577" s="48"/>
      <c r="B577" s="48"/>
    </row>
    <row r="578" spans="1:2" ht="15.75" customHeight="1">
      <c r="A578" s="48"/>
      <c r="B578" s="48"/>
    </row>
    <row r="579" spans="1:2" ht="15.75" customHeight="1">
      <c r="A579" s="48"/>
      <c r="B579" s="48"/>
    </row>
    <row r="580" spans="1:2" ht="15.75" customHeight="1">
      <c r="A580" s="48"/>
      <c r="B580" s="48"/>
    </row>
    <row r="581" spans="1:2" ht="15.75" customHeight="1">
      <c r="A581" s="48"/>
      <c r="B581" s="48"/>
    </row>
    <row r="582" spans="1:2" ht="15.75" customHeight="1">
      <c r="A582" s="48"/>
      <c r="B582" s="48"/>
    </row>
    <row r="583" spans="1:2" ht="15.75" customHeight="1">
      <c r="A583" s="48"/>
      <c r="B583" s="48"/>
    </row>
    <row r="584" spans="1:2" ht="15.75" customHeight="1">
      <c r="A584" s="48"/>
      <c r="B584" s="48"/>
    </row>
    <row r="585" spans="1:2" ht="15.75" customHeight="1">
      <c r="A585" s="48"/>
      <c r="B585" s="48"/>
    </row>
    <row r="586" spans="1:2" ht="15.75" customHeight="1">
      <c r="A586" s="48"/>
      <c r="B586" s="48"/>
    </row>
    <row r="587" spans="1:2" ht="15.75" customHeight="1">
      <c r="A587" s="48"/>
      <c r="B587" s="48"/>
    </row>
    <row r="588" spans="1:2" ht="15.75" customHeight="1">
      <c r="A588" s="48"/>
      <c r="B588" s="48"/>
    </row>
    <row r="589" spans="1:2" ht="15.75" customHeight="1">
      <c r="A589" s="48"/>
      <c r="B589" s="48"/>
    </row>
    <row r="590" spans="1:2" ht="15.75" customHeight="1">
      <c r="A590" s="48"/>
      <c r="B590" s="48"/>
    </row>
    <row r="591" spans="1:2" ht="15.75" customHeight="1">
      <c r="A591" s="48"/>
      <c r="B591" s="48"/>
    </row>
    <row r="592" spans="1:2" ht="15.75" customHeight="1">
      <c r="A592" s="48"/>
      <c r="B592" s="48"/>
    </row>
    <row r="593" spans="1:2" ht="15.75" customHeight="1">
      <c r="A593" s="48"/>
      <c r="B593" s="48"/>
    </row>
    <row r="594" spans="1:2" ht="15.75" customHeight="1">
      <c r="A594" s="48"/>
      <c r="B594" s="48"/>
    </row>
    <row r="595" spans="1:2" ht="15.75" customHeight="1">
      <c r="A595" s="48"/>
      <c r="B595" s="48"/>
    </row>
    <row r="596" spans="1:2" ht="15.75" customHeight="1">
      <c r="A596" s="48"/>
      <c r="B596" s="48"/>
    </row>
    <row r="597" spans="1:2" ht="15.75" customHeight="1">
      <c r="A597" s="48"/>
      <c r="B597" s="48"/>
    </row>
    <row r="598" spans="1:2" ht="15.75" customHeight="1">
      <c r="A598" s="48"/>
      <c r="B598" s="48"/>
    </row>
    <row r="599" spans="1:2" ht="15.75" customHeight="1">
      <c r="A599" s="48"/>
      <c r="B599" s="48"/>
    </row>
    <row r="600" spans="1:2" ht="15.75" customHeight="1">
      <c r="A600" s="48"/>
      <c r="B600" s="48"/>
    </row>
    <row r="601" spans="1:2" ht="15.75" customHeight="1">
      <c r="A601" s="48"/>
      <c r="B601" s="48"/>
    </row>
    <row r="602" spans="1:2" ht="15.75" customHeight="1">
      <c r="A602" s="48"/>
      <c r="B602" s="48"/>
    </row>
    <row r="603" spans="1:2" ht="15.75" customHeight="1">
      <c r="A603" s="48"/>
      <c r="B603" s="48"/>
    </row>
    <row r="604" spans="1:2" ht="15.75" customHeight="1">
      <c r="A604" s="48"/>
      <c r="B604" s="48"/>
    </row>
    <row r="605" spans="1:2" ht="15.75" customHeight="1">
      <c r="A605" s="48"/>
      <c r="B605" s="48"/>
    </row>
    <row r="606" spans="1:2" ht="15.75" customHeight="1">
      <c r="A606" s="48"/>
      <c r="B606" s="48"/>
    </row>
    <row r="607" spans="1:2" ht="15.75" customHeight="1">
      <c r="A607" s="48"/>
      <c r="B607" s="48"/>
    </row>
    <row r="608" spans="1:2" ht="15.75" customHeight="1">
      <c r="A608" s="48"/>
      <c r="B608" s="48"/>
    </row>
    <row r="609" spans="1:2" ht="15.75" customHeight="1">
      <c r="A609" s="48"/>
      <c r="B609" s="48"/>
    </row>
    <row r="610" spans="1:2" ht="15.75" customHeight="1">
      <c r="A610" s="48"/>
      <c r="B610" s="48"/>
    </row>
    <row r="611" spans="1:2" ht="15.75" customHeight="1">
      <c r="A611" s="48"/>
      <c r="B611" s="48"/>
    </row>
    <row r="612" spans="1:2" ht="15.75" customHeight="1">
      <c r="A612" s="48"/>
      <c r="B612" s="48"/>
    </row>
    <row r="613" spans="1:2" ht="15.75" customHeight="1">
      <c r="A613" s="48"/>
      <c r="B613" s="48"/>
    </row>
    <row r="614" spans="1:2" ht="15.75" customHeight="1">
      <c r="A614" s="48"/>
      <c r="B614" s="48"/>
    </row>
    <row r="615" spans="1:2" ht="15.75" customHeight="1">
      <c r="A615" s="48"/>
      <c r="B615" s="48"/>
    </row>
    <row r="616" spans="1:2" ht="15.75" customHeight="1">
      <c r="A616" s="48"/>
      <c r="B616" s="48"/>
    </row>
    <row r="617" spans="1:2" ht="15.75" customHeight="1">
      <c r="A617" s="48"/>
      <c r="B617" s="48"/>
    </row>
    <row r="618" spans="1:2" ht="15.75" customHeight="1">
      <c r="A618" s="48"/>
      <c r="B618" s="48"/>
    </row>
    <row r="619" spans="1:2" ht="15.75" customHeight="1">
      <c r="A619" s="48"/>
      <c r="B619" s="48"/>
    </row>
    <row r="620" spans="1:2" ht="15.75" customHeight="1">
      <c r="A620" s="48"/>
      <c r="B620" s="48"/>
    </row>
    <row r="621" spans="1:2" ht="15.75" customHeight="1">
      <c r="A621" s="48"/>
      <c r="B621" s="48"/>
    </row>
    <row r="622" spans="1:2" ht="15.75" customHeight="1">
      <c r="A622" s="48"/>
      <c r="B622" s="48"/>
    </row>
    <row r="623" spans="1:2" ht="15.75" customHeight="1">
      <c r="A623" s="48"/>
      <c r="B623" s="48"/>
    </row>
    <row r="624" spans="1:2" ht="15.75" customHeight="1">
      <c r="A624" s="48"/>
      <c r="B624" s="48"/>
    </row>
    <row r="625" spans="1:2" ht="15.75" customHeight="1">
      <c r="A625" s="48"/>
      <c r="B625" s="48"/>
    </row>
    <row r="626" spans="1:2" ht="15.75" customHeight="1">
      <c r="A626" s="48"/>
      <c r="B626" s="48"/>
    </row>
    <row r="627" spans="1:2" ht="15.75" customHeight="1">
      <c r="A627" s="48"/>
      <c r="B627" s="48"/>
    </row>
    <row r="628" spans="1:2" ht="15.75" customHeight="1">
      <c r="A628" s="48"/>
      <c r="B628" s="48"/>
    </row>
    <row r="629" spans="1:2" ht="15.75" customHeight="1">
      <c r="A629" s="48"/>
      <c r="B629" s="48"/>
    </row>
    <row r="630" spans="1:2" ht="15.75" customHeight="1">
      <c r="A630" s="48"/>
      <c r="B630" s="48"/>
    </row>
    <row r="631" spans="1:2" ht="15.75" customHeight="1">
      <c r="A631" s="48"/>
      <c r="B631" s="48"/>
    </row>
    <row r="632" spans="1:2" ht="15.75" customHeight="1">
      <c r="A632" s="48"/>
      <c r="B632" s="48"/>
    </row>
    <row r="633" spans="1:2" ht="15.75" customHeight="1">
      <c r="A633" s="48"/>
      <c r="B633" s="48"/>
    </row>
    <row r="634" spans="1:2" ht="15.75" customHeight="1">
      <c r="A634" s="48"/>
      <c r="B634" s="48"/>
    </row>
    <row r="635" spans="1:2" ht="15.75" customHeight="1">
      <c r="A635" s="48"/>
      <c r="B635" s="48"/>
    </row>
    <row r="636" spans="1:2" ht="15.75" customHeight="1">
      <c r="A636" s="48"/>
      <c r="B636" s="48"/>
    </row>
    <row r="637" spans="1:2" ht="15.75" customHeight="1">
      <c r="A637" s="48"/>
      <c r="B637" s="48"/>
    </row>
    <row r="638" spans="1:2" ht="15.75" customHeight="1">
      <c r="A638" s="48"/>
      <c r="B638" s="48"/>
    </row>
    <row r="639" spans="1:2" ht="15.75" customHeight="1">
      <c r="A639" s="48"/>
      <c r="B639" s="48"/>
    </row>
    <row r="640" spans="1:2" ht="15.75" customHeight="1">
      <c r="A640" s="48"/>
      <c r="B640" s="48"/>
    </row>
    <row r="641" spans="1:2" ht="15.75" customHeight="1">
      <c r="A641" s="48"/>
      <c r="B641" s="48"/>
    </row>
    <row r="642" spans="1:2" ht="15.75" customHeight="1">
      <c r="A642" s="48"/>
      <c r="B642" s="48"/>
    </row>
    <row r="643" spans="1:2" ht="15.75" customHeight="1">
      <c r="A643" s="48"/>
      <c r="B643" s="48"/>
    </row>
    <row r="644" spans="1:2" ht="15.75" customHeight="1">
      <c r="A644" s="48"/>
      <c r="B644" s="48"/>
    </row>
    <row r="645" spans="1:2" ht="15.75" customHeight="1">
      <c r="A645" s="48"/>
      <c r="B645" s="48"/>
    </row>
    <row r="646" spans="1:2" ht="15.75" customHeight="1">
      <c r="A646" s="48"/>
      <c r="B646" s="48"/>
    </row>
    <row r="647" spans="1:2" ht="15.75" customHeight="1">
      <c r="A647" s="48"/>
      <c r="B647" s="48"/>
    </row>
    <row r="648" spans="1:2" ht="15.75" customHeight="1">
      <c r="A648" s="48"/>
      <c r="B648" s="48"/>
    </row>
    <row r="649" spans="1:2" ht="15.75" customHeight="1">
      <c r="A649" s="48"/>
      <c r="B649" s="48"/>
    </row>
    <row r="650" spans="1:2" ht="15.75" customHeight="1">
      <c r="A650" s="48"/>
      <c r="B650" s="48"/>
    </row>
    <row r="651" spans="1:2" ht="15.75" customHeight="1">
      <c r="A651" s="48"/>
      <c r="B651" s="48"/>
    </row>
    <row r="652" spans="1:2" ht="15.75" customHeight="1">
      <c r="A652" s="48"/>
      <c r="B652" s="48"/>
    </row>
    <row r="653" spans="1:2" ht="15.75" customHeight="1">
      <c r="A653" s="48"/>
      <c r="B653" s="48"/>
    </row>
    <row r="654" spans="1:2" ht="15.75" customHeight="1">
      <c r="A654" s="48"/>
      <c r="B654" s="48"/>
    </row>
    <row r="655" spans="1:2" ht="15.75" customHeight="1">
      <c r="A655" s="48"/>
      <c r="B655" s="48"/>
    </row>
    <row r="656" spans="1:2" ht="15.75" customHeight="1">
      <c r="A656" s="48"/>
      <c r="B656" s="48"/>
    </row>
    <row r="657" spans="1:2" ht="15.75" customHeight="1">
      <c r="A657" s="48"/>
      <c r="B657" s="48"/>
    </row>
    <row r="658" spans="1:2" ht="15.75" customHeight="1">
      <c r="A658" s="48"/>
      <c r="B658" s="48"/>
    </row>
    <row r="659" spans="1:2" ht="15.75" customHeight="1">
      <c r="A659" s="48"/>
      <c r="B659" s="48"/>
    </row>
    <row r="660" spans="1:2" ht="15.75" customHeight="1">
      <c r="A660" s="48"/>
      <c r="B660" s="48"/>
    </row>
    <row r="661" spans="1:2" ht="15.75" customHeight="1">
      <c r="A661" s="48"/>
      <c r="B661" s="48"/>
    </row>
    <row r="662" spans="1:2" ht="15.75" customHeight="1">
      <c r="A662" s="48"/>
      <c r="B662" s="48"/>
    </row>
    <row r="663" spans="1:2" ht="15.75" customHeight="1">
      <c r="A663" s="48"/>
      <c r="B663" s="48"/>
    </row>
    <row r="664" spans="1:2" ht="15.75" customHeight="1">
      <c r="A664" s="48"/>
      <c r="B664" s="48"/>
    </row>
    <row r="665" spans="1:2" ht="15.75" customHeight="1">
      <c r="A665" s="48"/>
      <c r="B665" s="48"/>
    </row>
    <row r="666" spans="1:2" ht="15.75" customHeight="1">
      <c r="A666" s="48"/>
      <c r="B666" s="48"/>
    </row>
    <row r="667" spans="1:2" ht="15.75" customHeight="1">
      <c r="A667" s="48"/>
      <c r="B667" s="48"/>
    </row>
    <row r="668" spans="1:2" ht="15.75" customHeight="1">
      <c r="A668" s="48"/>
      <c r="B668" s="48"/>
    </row>
    <row r="669" spans="1:2" ht="15.75" customHeight="1">
      <c r="A669" s="48"/>
      <c r="B669" s="48"/>
    </row>
    <row r="670" spans="1:2" ht="15.75" customHeight="1">
      <c r="A670" s="48"/>
      <c r="B670" s="48"/>
    </row>
    <row r="671" spans="1:2" ht="15.75" customHeight="1">
      <c r="A671" s="48"/>
      <c r="B671" s="48"/>
    </row>
    <row r="672" spans="1:2" ht="15.75" customHeight="1">
      <c r="A672" s="48"/>
      <c r="B672" s="48"/>
    </row>
    <row r="673" spans="1:2" ht="15.75" customHeight="1">
      <c r="A673" s="48"/>
      <c r="B673" s="48"/>
    </row>
    <row r="674" spans="1:2" ht="15.75" customHeight="1">
      <c r="A674" s="48"/>
      <c r="B674" s="48"/>
    </row>
    <row r="675" spans="1:2" ht="15.75" customHeight="1">
      <c r="A675" s="48"/>
      <c r="B675" s="48"/>
    </row>
    <row r="676" spans="1:2" ht="15.75" customHeight="1">
      <c r="A676" s="48"/>
      <c r="B676" s="48"/>
    </row>
    <row r="677" spans="1:2" ht="15.75" customHeight="1">
      <c r="A677" s="48"/>
      <c r="B677" s="48"/>
    </row>
    <row r="678" spans="1:2" ht="15.75" customHeight="1">
      <c r="A678" s="48"/>
      <c r="B678" s="48"/>
    </row>
    <row r="679" spans="1:2" ht="15.75" customHeight="1">
      <c r="A679" s="48"/>
      <c r="B679" s="48"/>
    </row>
    <row r="680" spans="1:2" ht="15.75" customHeight="1">
      <c r="A680" s="48"/>
      <c r="B680" s="48"/>
    </row>
    <row r="681" spans="1:2" ht="15.75" customHeight="1">
      <c r="A681" s="48"/>
      <c r="B681" s="48"/>
    </row>
    <row r="682" spans="1:2" ht="15.75" customHeight="1">
      <c r="A682" s="48"/>
      <c r="B682" s="48"/>
    </row>
    <row r="683" spans="1:2" ht="15.75" customHeight="1">
      <c r="A683" s="48"/>
      <c r="B683" s="48"/>
    </row>
    <row r="684" spans="1:2" ht="15.75" customHeight="1">
      <c r="A684" s="48"/>
      <c r="B684" s="48"/>
    </row>
    <row r="685" spans="1:2" ht="15.75" customHeight="1">
      <c r="A685" s="48"/>
      <c r="B685" s="48"/>
    </row>
    <row r="686" spans="1:2" ht="15.75" customHeight="1">
      <c r="A686" s="48"/>
      <c r="B686" s="48"/>
    </row>
    <row r="687" spans="1:2" ht="15.75" customHeight="1">
      <c r="A687" s="48"/>
      <c r="B687" s="48"/>
    </row>
    <row r="688" spans="1:2" ht="15.75" customHeight="1">
      <c r="A688" s="48"/>
      <c r="B688" s="48"/>
    </row>
    <row r="689" spans="1:2" ht="15.75" customHeight="1">
      <c r="A689" s="48"/>
      <c r="B689" s="48"/>
    </row>
    <row r="690" spans="1:2" ht="15.75" customHeight="1">
      <c r="A690" s="48"/>
      <c r="B690" s="48"/>
    </row>
    <row r="691" spans="1:2" ht="15.75" customHeight="1">
      <c r="A691" s="48"/>
      <c r="B691" s="48"/>
    </row>
    <row r="692" spans="1:2" ht="15.75" customHeight="1">
      <c r="A692" s="48"/>
      <c r="B692" s="48"/>
    </row>
    <row r="693" spans="1:2" ht="15.75" customHeight="1">
      <c r="A693" s="48"/>
      <c r="B693" s="48"/>
    </row>
    <row r="694" spans="1:2" ht="15.75" customHeight="1">
      <c r="A694" s="48"/>
      <c r="B694" s="48"/>
    </row>
    <row r="695" spans="1:2" ht="15.75" customHeight="1">
      <c r="A695" s="48"/>
      <c r="B695" s="48"/>
    </row>
    <row r="696" spans="1:2" ht="15.75" customHeight="1">
      <c r="A696" s="48"/>
      <c r="B696" s="48"/>
    </row>
    <row r="697" spans="1:2" ht="15.75" customHeight="1">
      <c r="A697" s="48"/>
      <c r="B697" s="48"/>
    </row>
    <row r="698" spans="1:2" ht="15.75" customHeight="1">
      <c r="A698" s="48"/>
      <c r="B698" s="48"/>
    </row>
    <row r="699" spans="1:2" ht="15.75" customHeight="1">
      <c r="A699" s="48"/>
      <c r="B699" s="48"/>
    </row>
    <row r="700" spans="1:2" ht="15.75" customHeight="1">
      <c r="A700" s="48"/>
      <c r="B700" s="48"/>
    </row>
    <row r="701" spans="1:2" ht="15.75" customHeight="1">
      <c r="A701" s="48"/>
      <c r="B701" s="48"/>
    </row>
    <row r="702" spans="1:2" ht="15.75" customHeight="1">
      <c r="A702" s="48"/>
      <c r="B702" s="48"/>
    </row>
    <row r="703" spans="1:2" ht="15.75" customHeight="1">
      <c r="A703" s="48"/>
      <c r="B703" s="48"/>
    </row>
    <row r="704" spans="1:2" ht="15.75" customHeight="1">
      <c r="A704" s="48"/>
      <c r="B704" s="48"/>
    </row>
    <row r="705" spans="1:2" ht="15.75" customHeight="1">
      <c r="A705" s="48"/>
      <c r="B705" s="48"/>
    </row>
    <row r="706" spans="1:2" ht="15.75" customHeight="1">
      <c r="A706" s="48"/>
      <c r="B706" s="48"/>
    </row>
    <row r="707" spans="1:2" ht="15.75" customHeight="1">
      <c r="A707" s="48"/>
      <c r="B707" s="48"/>
    </row>
    <row r="708" spans="1:2" ht="15.75" customHeight="1">
      <c r="A708" s="48"/>
      <c r="B708" s="48"/>
    </row>
    <row r="709" spans="1:2" ht="15.75" customHeight="1">
      <c r="A709" s="48"/>
      <c r="B709" s="48"/>
    </row>
    <row r="710" spans="1:2" ht="15.75" customHeight="1">
      <c r="A710" s="48"/>
      <c r="B710" s="48"/>
    </row>
    <row r="711" spans="1:2" ht="15.75" customHeight="1">
      <c r="A711" s="48"/>
      <c r="B711" s="48"/>
    </row>
    <row r="712" spans="1:2" ht="15.75" customHeight="1">
      <c r="A712" s="48"/>
      <c r="B712" s="48"/>
    </row>
    <row r="713" spans="1:2" ht="15.75" customHeight="1">
      <c r="A713" s="48"/>
      <c r="B713" s="48"/>
    </row>
    <row r="714" spans="1:2" ht="15.75" customHeight="1">
      <c r="A714" s="48"/>
      <c r="B714" s="48"/>
    </row>
    <row r="715" spans="1:2" ht="15.75" customHeight="1">
      <c r="A715" s="48"/>
      <c r="B715" s="48"/>
    </row>
    <row r="716" spans="1:2" ht="15.75" customHeight="1">
      <c r="A716" s="48"/>
      <c r="B716" s="48"/>
    </row>
    <row r="717" spans="1:2" ht="15.75" customHeight="1">
      <c r="A717" s="48"/>
      <c r="B717" s="48"/>
    </row>
    <row r="718" spans="1:2" ht="15.75" customHeight="1">
      <c r="A718" s="48"/>
      <c r="B718" s="48"/>
    </row>
    <row r="719" spans="1:2" ht="15.75" customHeight="1">
      <c r="A719" s="48"/>
      <c r="B719" s="48"/>
    </row>
    <row r="720" spans="1:2" ht="15.75" customHeight="1">
      <c r="A720" s="48"/>
      <c r="B720" s="48"/>
    </row>
    <row r="721" spans="1:2" ht="15.75" customHeight="1">
      <c r="A721" s="48"/>
      <c r="B721" s="48"/>
    </row>
    <row r="722" spans="1:2" ht="15.75" customHeight="1">
      <c r="A722" s="48"/>
      <c r="B722" s="48"/>
    </row>
    <row r="723" spans="1:2" ht="15.75" customHeight="1">
      <c r="A723" s="48"/>
      <c r="B723" s="48"/>
    </row>
    <row r="724" spans="1:2" ht="15.75" customHeight="1">
      <c r="A724" s="48"/>
      <c r="B724" s="48"/>
    </row>
    <row r="725" spans="1:2" ht="15.75" customHeight="1">
      <c r="A725" s="48"/>
      <c r="B725" s="48"/>
    </row>
    <row r="726" spans="1:2" ht="15.75" customHeight="1">
      <c r="A726" s="48"/>
      <c r="B726" s="48"/>
    </row>
    <row r="727" spans="1:2" ht="15.75" customHeight="1">
      <c r="A727" s="48"/>
      <c r="B727" s="48"/>
    </row>
    <row r="728" spans="1:2" ht="15.75" customHeight="1">
      <c r="A728" s="48"/>
      <c r="B728" s="48"/>
    </row>
    <row r="729" spans="1:2" ht="15.75" customHeight="1">
      <c r="A729" s="48"/>
      <c r="B729" s="48"/>
    </row>
    <row r="730" spans="1:2" ht="15.75" customHeight="1">
      <c r="A730" s="48"/>
      <c r="B730" s="48"/>
    </row>
    <row r="731" spans="1:2" ht="15.75" customHeight="1">
      <c r="A731" s="48"/>
      <c r="B731" s="48"/>
    </row>
    <row r="732" spans="1:2" ht="15.75" customHeight="1">
      <c r="A732" s="48"/>
      <c r="B732" s="48"/>
    </row>
    <row r="733" spans="1:2" ht="15.75" customHeight="1">
      <c r="A733" s="48"/>
      <c r="B733" s="48"/>
    </row>
    <row r="734" spans="1:2" ht="15.75" customHeight="1">
      <c r="A734" s="48"/>
      <c r="B734" s="48"/>
    </row>
    <row r="735" spans="1:2" ht="15.75" customHeight="1">
      <c r="A735" s="48"/>
      <c r="B735" s="48"/>
    </row>
    <row r="736" spans="1:2" ht="15.75" customHeight="1">
      <c r="A736" s="48"/>
      <c r="B736" s="48"/>
    </row>
    <row r="737" spans="1:2" ht="15.75" customHeight="1">
      <c r="A737" s="48"/>
      <c r="B737" s="48"/>
    </row>
    <row r="738" spans="1:2" ht="15.75" customHeight="1">
      <c r="A738" s="48"/>
      <c r="B738" s="48"/>
    </row>
    <row r="739" spans="1:2" ht="15.75" customHeight="1">
      <c r="A739" s="48"/>
      <c r="B739" s="48"/>
    </row>
    <row r="740" spans="1:2" ht="15.75" customHeight="1">
      <c r="A740" s="48"/>
      <c r="B740" s="48"/>
    </row>
    <row r="741" spans="1:2" ht="15.75" customHeight="1">
      <c r="A741" s="48"/>
      <c r="B741" s="48"/>
    </row>
    <row r="742" spans="1:2" ht="15.75" customHeight="1">
      <c r="A742" s="48"/>
      <c r="B742" s="48"/>
    </row>
    <row r="743" spans="1:2" ht="15.75" customHeight="1">
      <c r="A743" s="48"/>
      <c r="B743" s="48"/>
    </row>
    <row r="744" spans="1:2" ht="15.75" customHeight="1">
      <c r="A744" s="48"/>
      <c r="B744" s="48"/>
    </row>
    <row r="745" spans="1:2" ht="15.75" customHeight="1">
      <c r="A745" s="48"/>
      <c r="B745" s="48"/>
    </row>
    <row r="746" spans="1:2" ht="15.75" customHeight="1">
      <c r="A746" s="48"/>
      <c r="B746" s="48"/>
    </row>
    <row r="747" spans="1:2" ht="15.75" customHeight="1">
      <c r="A747" s="48"/>
      <c r="B747" s="48"/>
    </row>
    <row r="748" spans="1:2" ht="15.75" customHeight="1">
      <c r="A748" s="48"/>
      <c r="B748" s="48"/>
    </row>
    <row r="749" spans="1:2" ht="15.75" customHeight="1">
      <c r="A749" s="48"/>
      <c r="B749" s="48"/>
    </row>
    <row r="750" spans="1:2" ht="15.75" customHeight="1">
      <c r="A750" s="48"/>
      <c r="B750" s="48"/>
    </row>
    <row r="751" spans="1:2" ht="15.75" customHeight="1">
      <c r="A751" s="48"/>
      <c r="B751" s="48"/>
    </row>
    <row r="752" spans="1:2" ht="15.75" customHeight="1">
      <c r="A752" s="48"/>
      <c r="B752" s="48"/>
    </row>
    <row r="753" spans="1:2" ht="15.75" customHeight="1">
      <c r="A753" s="48"/>
      <c r="B753" s="48"/>
    </row>
    <row r="754" spans="1:2" ht="15.75" customHeight="1">
      <c r="A754" s="48"/>
      <c r="B754" s="48"/>
    </row>
    <row r="755" spans="1:2" ht="15.75" customHeight="1">
      <c r="A755" s="48"/>
      <c r="B755" s="48"/>
    </row>
    <row r="756" spans="1:2" ht="15.75" customHeight="1">
      <c r="A756" s="48"/>
      <c r="B756" s="48"/>
    </row>
    <row r="757" spans="1:2" ht="15.75" customHeight="1">
      <c r="A757" s="48"/>
      <c r="B757" s="48"/>
    </row>
    <row r="758" spans="1:2" ht="15.75" customHeight="1">
      <c r="A758" s="48"/>
      <c r="B758" s="48"/>
    </row>
    <row r="759" spans="1:2" ht="15.75" customHeight="1">
      <c r="A759" s="48"/>
      <c r="B759" s="48"/>
    </row>
    <row r="760" spans="1:2" ht="15.75" customHeight="1">
      <c r="A760" s="48"/>
      <c r="B760" s="48"/>
    </row>
    <row r="761" spans="1:2" ht="15.75" customHeight="1">
      <c r="A761" s="48"/>
      <c r="B761" s="48"/>
    </row>
    <row r="762" spans="1:2" ht="15.75" customHeight="1">
      <c r="A762" s="48"/>
      <c r="B762" s="48"/>
    </row>
    <row r="763" spans="1:2" ht="15.75" customHeight="1">
      <c r="A763" s="48"/>
      <c r="B763" s="48"/>
    </row>
    <row r="764" spans="1:2" ht="15.75" customHeight="1">
      <c r="A764" s="48"/>
      <c r="B764" s="48"/>
    </row>
    <row r="765" spans="1:2" ht="15.75" customHeight="1">
      <c r="A765" s="48"/>
      <c r="B765" s="48"/>
    </row>
    <row r="766" spans="1:2" ht="15.75" customHeight="1">
      <c r="A766" s="48"/>
      <c r="B766" s="48"/>
    </row>
    <row r="767" spans="1:2" ht="15.75" customHeight="1">
      <c r="A767" s="48"/>
      <c r="B767" s="48"/>
    </row>
    <row r="768" spans="1:2" ht="15.75" customHeight="1">
      <c r="A768" s="48"/>
      <c r="B768" s="48"/>
    </row>
    <row r="769" spans="1:2" ht="15.75" customHeight="1">
      <c r="A769" s="48"/>
      <c r="B769" s="48"/>
    </row>
    <row r="770" spans="1:2" ht="15.75" customHeight="1">
      <c r="A770" s="48"/>
      <c r="B770" s="48"/>
    </row>
    <row r="771" spans="1:2" ht="15.75" customHeight="1">
      <c r="A771" s="48"/>
      <c r="B771" s="48"/>
    </row>
    <row r="772" spans="1:2" ht="15.75" customHeight="1">
      <c r="A772" s="48"/>
      <c r="B772" s="48"/>
    </row>
    <row r="773" spans="1:2" ht="15.75" customHeight="1">
      <c r="A773" s="48"/>
      <c r="B773" s="48"/>
    </row>
    <row r="774" spans="1:2" ht="15.75" customHeight="1">
      <c r="A774" s="48"/>
      <c r="B774" s="48"/>
    </row>
    <row r="775" spans="1:2" ht="15.75" customHeight="1">
      <c r="A775" s="48"/>
      <c r="B775" s="48"/>
    </row>
    <row r="776" spans="1:2" ht="15.75" customHeight="1">
      <c r="A776" s="48"/>
      <c r="B776" s="48"/>
    </row>
    <row r="777" spans="1:2" ht="15.75" customHeight="1">
      <c r="A777" s="48"/>
      <c r="B777" s="48"/>
    </row>
    <row r="778" spans="1:2" ht="15.75" customHeight="1">
      <c r="A778" s="48"/>
      <c r="B778" s="48"/>
    </row>
    <row r="779" spans="1:2" ht="15.75" customHeight="1">
      <c r="A779" s="48"/>
      <c r="B779" s="48"/>
    </row>
    <row r="780" spans="1:2" ht="15.75" customHeight="1">
      <c r="A780" s="48"/>
      <c r="B780" s="48"/>
    </row>
    <row r="781" spans="1:2" ht="15.75" customHeight="1">
      <c r="A781" s="48"/>
      <c r="B781" s="48"/>
    </row>
    <row r="782" spans="1:2" ht="15.75" customHeight="1">
      <c r="A782" s="48"/>
      <c r="B782" s="48"/>
    </row>
    <row r="783" spans="1:2" ht="15.75" customHeight="1">
      <c r="A783" s="48"/>
      <c r="B783" s="48"/>
    </row>
    <row r="784" spans="1:2" ht="15.75" customHeight="1">
      <c r="A784" s="48"/>
      <c r="B784" s="48"/>
    </row>
    <row r="785" spans="1:2" ht="15.75" customHeight="1">
      <c r="A785" s="48"/>
      <c r="B785" s="48"/>
    </row>
    <row r="786" spans="1:2" ht="15.75" customHeight="1">
      <c r="A786" s="48"/>
      <c r="B786" s="48"/>
    </row>
    <row r="787" spans="1:2" ht="15.75" customHeight="1">
      <c r="A787" s="48"/>
      <c r="B787" s="48"/>
    </row>
    <row r="788" spans="1:2" ht="15.75" customHeight="1">
      <c r="A788" s="48"/>
      <c r="B788" s="48"/>
    </row>
    <row r="789" spans="1:2" ht="15.75" customHeight="1">
      <c r="A789" s="48"/>
      <c r="B789" s="48"/>
    </row>
    <row r="790" spans="1:2" ht="15.75" customHeight="1">
      <c r="A790" s="48"/>
      <c r="B790" s="48"/>
    </row>
    <row r="791" spans="1:2" ht="15.75" customHeight="1">
      <c r="A791" s="48"/>
      <c r="B791" s="48"/>
    </row>
    <row r="792" spans="1:2" ht="15.75" customHeight="1">
      <c r="A792" s="48"/>
      <c r="B792" s="48"/>
    </row>
    <row r="793" spans="1:2" ht="15.75" customHeight="1">
      <c r="A793" s="48"/>
      <c r="B793" s="48"/>
    </row>
    <row r="794" spans="1:2" ht="15.75" customHeight="1">
      <c r="A794" s="48"/>
      <c r="B794" s="48"/>
    </row>
    <row r="795" spans="1:2" ht="15.75" customHeight="1">
      <c r="A795" s="48"/>
      <c r="B795" s="48"/>
    </row>
    <row r="796" spans="1:2" ht="15.75" customHeight="1">
      <c r="A796" s="48"/>
      <c r="B796" s="48"/>
    </row>
    <row r="797" spans="1:2" ht="15.75" customHeight="1">
      <c r="A797" s="48"/>
      <c r="B797" s="48"/>
    </row>
    <row r="798" spans="1:2" ht="15.75" customHeight="1">
      <c r="A798" s="48"/>
      <c r="B798" s="48"/>
    </row>
    <row r="799" spans="1:2" ht="15.75" customHeight="1">
      <c r="A799" s="48"/>
      <c r="B799" s="48"/>
    </row>
    <row r="800" spans="1:2" ht="15.75" customHeight="1">
      <c r="A800" s="48"/>
      <c r="B800" s="48"/>
    </row>
    <row r="801" spans="1:2" ht="15.75" customHeight="1">
      <c r="A801" s="48"/>
      <c r="B801" s="48"/>
    </row>
    <row r="802" spans="1:2" ht="15.75" customHeight="1">
      <c r="A802" s="48"/>
      <c r="B802" s="48"/>
    </row>
    <row r="803" spans="1:2" ht="15.75" customHeight="1">
      <c r="A803" s="48"/>
      <c r="B803" s="48"/>
    </row>
    <row r="804" spans="1:2" ht="15.75" customHeight="1">
      <c r="A804" s="48"/>
      <c r="B804" s="48"/>
    </row>
    <row r="805" spans="1:2" ht="15.75" customHeight="1">
      <c r="A805" s="48"/>
      <c r="B805" s="48"/>
    </row>
    <row r="806" spans="1:2" ht="15.75" customHeight="1">
      <c r="A806" s="48"/>
      <c r="B806" s="48"/>
    </row>
    <row r="807" spans="1:2" ht="15.75" customHeight="1">
      <c r="A807" s="48"/>
      <c r="B807" s="48"/>
    </row>
    <row r="808" spans="1:2" ht="15.75" customHeight="1">
      <c r="A808" s="48"/>
      <c r="B808" s="48"/>
    </row>
    <row r="809" spans="1:2" ht="15.75" customHeight="1">
      <c r="A809" s="48"/>
      <c r="B809" s="48"/>
    </row>
    <row r="810" spans="1:2" ht="15.75" customHeight="1">
      <c r="A810" s="48"/>
      <c r="B810" s="48"/>
    </row>
    <row r="811" spans="1:2" ht="15.75" customHeight="1">
      <c r="A811" s="48"/>
      <c r="B811" s="48"/>
    </row>
    <row r="812" spans="1:2" ht="15.75" customHeight="1">
      <c r="A812" s="48"/>
      <c r="B812" s="48"/>
    </row>
    <row r="813" spans="1:2" ht="15.75" customHeight="1">
      <c r="A813" s="48"/>
      <c r="B813" s="48"/>
    </row>
    <row r="814" spans="1:2" ht="15.75" customHeight="1">
      <c r="A814" s="48"/>
      <c r="B814" s="48"/>
    </row>
    <row r="815" spans="1:2" ht="15.75" customHeight="1">
      <c r="A815" s="48"/>
      <c r="B815" s="48"/>
    </row>
    <row r="816" spans="1:2" ht="15.75" customHeight="1">
      <c r="A816" s="48"/>
      <c r="B816" s="48"/>
    </row>
    <row r="817" spans="1:2" ht="15.75" customHeight="1">
      <c r="A817" s="48"/>
      <c r="B817" s="48"/>
    </row>
    <row r="818" spans="1:2" ht="15.75" customHeight="1">
      <c r="A818" s="48"/>
      <c r="B818" s="48"/>
    </row>
    <row r="819" spans="1:2" ht="15.75" customHeight="1">
      <c r="A819" s="48"/>
      <c r="B819" s="48"/>
    </row>
    <row r="820" spans="1:2" ht="15.75" customHeight="1">
      <c r="A820" s="48"/>
      <c r="B820" s="48"/>
    </row>
    <row r="821" spans="1:2" ht="15.75" customHeight="1">
      <c r="A821" s="48"/>
      <c r="B821" s="48"/>
    </row>
    <row r="822" spans="1:2" ht="15.75" customHeight="1">
      <c r="A822" s="48"/>
      <c r="B822" s="48"/>
    </row>
    <row r="823" spans="1:2" ht="15.75" customHeight="1">
      <c r="A823" s="48"/>
      <c r="B823" s="48"/>
    </row>
    <row r="824" spans="1:2" ht="15.75" customHeight="1">
      <c r="A824" s="48"/>
      <c r="B824" s="48"/>
    </row>
    <row r="825" spans="1:2" ht="15.75" customHeight="1">
      <c r="A825" s="48"/>
      <c r="B825" s="48"/>
    </row>
    <row r="826" spans="1:2" ht="15.75" customHeight="1">
      <c r="A826" s="48"/>
      <c r="B826" s="48"/>
    </row>
    <row r="827" spans="1:2" ht="15.75" customHeight="1">
      <c r="A827" s="48"/>
      <c r="B827" s="48"/>
    </row>
    <row r="828" spans="1:2" ht="15.75" customHeight="1">
      <c r="A828" s="48"/>
      <c r="B828" s="48"/>
    </row>
    <row r="829" spans="1:2" ht="15.75" customHeight="1">
      <c r="A829" s="48"/>
      <c r="B829" s="48"/>
    </row>
    <row r="830" spans="1:2" ht="15.75" customHeight="1">
      <c r="A830" s="48"/>
      <c r="B830" s="48"/>
    </row>
    <row r="831" spans="1:2" ht="15.75" customHeight="1">
      <c r="A831" s="48"/>
      <c r="B831" s="48"/>
    </row>
    <row r="832" spans="1:2" ht="15.75" customHeight="1">
      <c r="A832" s="48"/>
      <c r="B832" s="48"/>
    </row>
    <row r="833" spans="1:2" ht="15.75" customHeight="1">
      <c r="A833" s="48"/>
      <c r="B833" s="48"/>
    </row>
    <row r="834" spans="1:2" ht="15.75" customHeight="1">
      <c r="A834" s="48"/>
      <c r="B834" s="48"/>
    </row>
    <row r="835" spans="1:2" ht="15.75" customHeight="1">
      <c r="A835" s="48"/>
      <c r="B835" s="48"/>
    </row>
    <row r="836" spans="1:2" ht="15.75" customHeight="1">
      <c r="A836" s="48"/>
      <c r="B836" s="48"/>
    </row>
    <row r="837" spans="1:2" ht="15.75" customHeight="1">
      <c r="A837" s="48"/>
      <c r="B837" s="48"/>
    </row>
    <row r="838" spans="1:2" ht="15.75" customHeight="1">
      <c r="A838" s="48"/>
      <c r="B838" s="48"/>
    </row>
    <row r="839" spans="1:2" ht="15.75" customHeight="1">
      <c r="A839" s="48"/>
      <c r="B839" s="48"/>
    </row>
    <row r="840" spans="1:2" ht="15.75" customHeight="1">
      <c r="A840" s="48"/>
      <c r="B840" s="48"/>
    </row>
    <row r="841" spans="1:2" ht="15.75" customHeight="1">
      <c r="A841" s="48"/>
      <c r="B841" s="48"/>
    </row>
    <row r="842" spans="1:2" ht="15.75" customHeight="1">
      <c r="A842" s="48"/>
      <c r="B842" s="48"/>
    </row>
    <row r="843" spans="1:2" ht="15.75" customHeight="1">
      <c r="A843" s="48"/>
      <c r="B843" s="48"/>
    </row>
    <row r="844" spans="1:2" ht="15.75" customHeight="1">
      <c r="A844" s="48"/>
      <c r="B844" s="48"/>
    </row>
    <row r="845" spans="1:2" ht="15.75" customHeight="1">
      <c r="A845" s="48"/>
      <c r="B845" s="48"/>
    </row>
    <row r="846" spans="1:2" ht="15.75" customHeight="1">
      <c r="A846" s="48"/>
      <c r="B846" s="48"/>
    </row>
    <row r="847" spans="1:2" ht="15.75" customHeight="1">
      <c r="A847" s="48"/>
      <c r="B847" s="48"/>
    </row>
    <row r="848" spans="1:2" ht="15.75" customHeight="1">
      <c r="A848" s="48"/>
      <c r="B848" s="48"/>
    </row>
    <row r="849" spans="1:2" ht="15.75" customHeight="1">
      <c r="A849" s="48"/>
      <c r="B849" s="48"/>
    </row>
    <row r="850" spans="1:2" ht="15.75" customHeight="1">
      <c r="A850" s="48"/>
      <c r="B850" s="48"/>
    </row>
    <row r="851" spans="1:2" ht="15.75" customHeight="1">
      <c r="A851" s="48"/>
      <c r="B851" s="48"/>
    </row>
    <row r="852" spans="1:2" ht="15.75" customHeight="1">
      <c r="A852" s="48"/>
      <c r="B852" s="48"/>
    </row>
    <row r="853" spans="1:2" ht="15.75" customHeight="1">
      <c r="A853" s="48"/>
      <c r="B853" s="48"/>
    </row>
    <row r="854" spans="1:2" ht="15.75" customHeight="1">
      <c r="A854" s="48"/>
      <c r="B854" s="48"/>
    </row>
    <row r="855" spans="1:2" ht="15.75" customHeight="1">
      <c r="A855" s="48"/>
      <c r="B855" s="48"/>
    </row>
    <row r="856" spans="1:2" ht="15.75" customHeight="1">
      <c r="A856" s="48"/>
      <c r="B856" s="48"/>
    </row>
    <row r="857" spans="1:2" ht="15.75" customHeight="1">
      <c r="A857" s="48"/>
      <c r="B857" s="48"/>
    </row>
    <row r="858" spans="1:2" ht="15.75" customHeight="1">
      <c r="A858" s="48"/>
      <c r="B858" s="48"/>
    </row>
    <row r="859" spans="1:2" ht="15.75" customHeight="1">
      <c r="A859" s="48"/>
      <c r="B859" s="48"/>
    </row>
    <row r="860" spans="1:2" ht="15.75" customHeight="1">
      <c r="A860" s="48"/>
      <c r="B860" s="48"/>
    </row>
    <row r="861" spans="1:2" ht="15.75" customHeight="1">
      <c r="A861" s="48"/>
      <c r="B861" s="48"/>
    </row>
    <row r="862" spans="1:2" ht="15.75" customHeight="1">
      <c r="A862" s="48"/>
      <c r="B862" s="48"/>
    </row>
    <row r="863" spans="1:2" ht="15.75" customHeight="1">
      <c r="A863" s="48"/>
      <c r="B863" s="48"/>
    </row>
    <row r="864" spans="1:2" ht="15.75" customHeight="1">
      <c r="A864" s="48"/>
      <c r="B864" s="48"/>
    </row>
    <row r="865" spans="1:2" ht="15.75" customHeight="1">
      <c r="A865" s="48"/>
      <c r="B865" s="48"/>
    </row>
    <row r="866" spans="1:2" ht="15.75" customHeight="1">
      <c r="A866" s="48"/>
      <c r="B866" s="48"/>
    </row>
    <row r="867" spans="1:2" ht="15.75" customHeight="1">
      <c r="A867" s="48"/>
      <c r="B867" s="48"/>
    </row>
    <row r="868" spans="1:2" ht="15.75" customHeight="1">
      <c r="A868" s="48"/>
      <c r="B868" s="48"/>
    </row>
    <row r="869" spans="1:2" ht="15.75" customHeight="1">
      <c r="A869" s="48"/>
      <c r="B869" s="48"/>
    </row>
    <row r="870" spans="1:2" ht="15.75" customHeight="1">
      <c r="A870" s="48"/>
      <c r="B870" s="48"/>
    </row>
    <row r="871" spans="1:2" ht="15.75" customHeight="1">
      <c r="A871" s="48"/>
      <c r="B871" s="48"/>
    </row>
    <row r="872" spans="1:2" ht="15.75" customHeight="1">
      <c r="A872" s="48"/>
      <c r="B872" s="48"/>
    </row>
    <row r="873" spans="1:2" ht="15.75" customHeight="1">
      <c r="A873" s="48"/>
      <c r="B873" s="48"/>
    </row>
    <row r="874" spans="1:2" ht="15.75" customHeight="1">
      <c r="A874" s="48"/>
      <c r="B874" s="48"/>
    </row>
    <row r="875" spans="1:2" ht="15.75" customHeight="1">
      <c r="A875" s="48"/>
      <c r="B875" s="48"/>
    </row>
    <row r="876" spans="1:2" ht="15.75" customHeight="1">
      <c r="A876" s="48"/>
      <c r="B876" s="48"/>
    </row>
    <row r="877" spans="1:2" ht="15.75" customHeight="1">
      <c r="A877" s="48"/>
      <c r="B877" s="48"/>
    </row>
    <row r="878" spans="1:2" ht="15.75" customHeight="1">
      <c r="A878" s="48"/>
      <c r="B878" s="48"/>
    </row>
    <row r="879" spans="1:2" ht="15.75" customHeight="1">
      <c r="A879" s="48"/>
      <c r="B879" s="48"/>
    </row>
    <row r="880" spans="1:2" ht="15.75" customHeight="1">
      <c r="A880" s="48"/>
      <c r="B880" s="48"/>
    </row>
    <row r="881" spans="1:2" ht="15.75" customHeight="1">
      <c r="A881" s="48"/>
      <c r="B881" s="48"/>
    </row>
    <row r="882" spans="1:2" ht="15.75" customHeight="1">
      <c r="A882" s="48"/>
      <c r="B882" s="48"/>
    </row>
    <row r="883" spans="1:2" ht="15.75" customHeight="1">
      <c r="A883" s="48"/>
      <c r="B883" s="48"/>
    </row>
    <row r="884" spans="1:2" ht="15.75" customHeight="1">
      <c r="A884" s="48"/>
      <c r="B884" s="48"/>
    </row>
    <row r="885" spans="1:2" ht="15.75" customHeight="1">
      <c r="A885" s="48"/>
      <c r="B885" s="48"/>
    </row>
    <row r="886" spans="1:2" ht="15.75" customHeight="1">
      <c r="A886" s="48"/>
      <c r="B886" s="48"/>
    </row>
    <row r="887" spans="1:2" ht="15.75" customHeight="1">
      <c r="A887" s="48"/>
      <c r="B887" s="48"/>
    </row>
    <row r="888" spans="1:2" ht="15.75" customHeight="1">
      <c r="A888" s="48"/>
      <c r="B888" s="48"/>
    </row>
    <row r="889" spans="1:2" ht="15.75" customHeight="1">
      <c r="A889" s="48"/>
      <c r="B889" s="48"/>
    </row>
    <row r="890" spans="1:2" ht="15.75" customHeight="1">
      <c r="A890" s="48"/>
      <c r="B890" s="48"/>
    </row>
    <row r="891" spans="1:2" ht="15.75" customHeight="1">
      <c r="A891" s="48"/>
      <c r="B891" s="48"/>
    </row>
    <row r="892" spans="1:2" ht="15.75" customHeight="1">
      <c r="A892" s="48"/>
      <c r="B892" s="48"/>
    </row>
    <row r="893" spans="1:2" ht="15.75" customHeight="1">
      <c r="A893" s="48"/>
      <c r="B893" s="48"/>
    </row>
    <row r="894" spans="1:2" ht="15.75" customHeight="1">
      <c r="A894" s="48"/>
      <c r="B894" s="48"/>
    </row>
    <row r="895" spans="1:2" ht="15.75" customHeight="1">
      <c r="A895" s="48"/>
      <c r="B895" s="48"/>
    </row>
    <row r="896" spans="1:2" ht="15.75" customHeight="1">
      <c r="A896" s="48"/>
      <c r="B896" s="48"/>
    </row>
    <row r="897" spans="1:2" ht="15.75" customHeight="1">
      <c r="A897" s="48"/>
      <c r="B897" s="48"/>
    </row>
    <row r="898" spans="1:2" ht="15.75" customHeight="1">
      <c r="A898" s="48"/>
      <c r="B898" s="48"/>
    </row>
    <row r="899" spans="1:2" ht="15.75" customHeight="1">
      <c r="A899" s="48"/>
      <c r="B899" s="48"/>
    </row>
    <row r="900" spans="1:2" ht="15.75" customHeight="1">
      <c r="A900" s="48"/>
      <c r="B900" s="48"/>
    </row>
    <row r="901" spans="1:2" ht="15.75" customHeight="1">
      <c r="A901" s="48"/>
      <c r="B901" s="48"/>
    </row>
    <row r="902" spans="1:2" ht="15.75" customHeight="1">
      <c r="A902" s="48"/>
      <c r="B902" s="48"/>
    </row>
    <row r="903" spans="1:2" ht="15.75" customHeight="1">
      <c r="A903" s="48"/>
      <c r="B903" s="48"/>
    </row>
    <row r="904" spans="1:2" ht="15.75" customHeight="1">
      <c r="A904" s="48"/>
      <c r="B904" s="48"/>
    </row>
    <row r="905" spans="1:2" ht="15.75" customHeight="1">
      <c r="A905" s="48"/>
      <c r="B905" s="48"/>
    </row>
    <row r="906" spans="1:2" ht="15.75" customHeight="1">
      <c r="A906" s="48"/>
      <c r="B906" s="48"/>
    </row>
    <row r="907" spans="1:2" ht="15.75" customHeight="1">
      <c r="A907" s="48"/>
      <c r="B907" s="48"/>
    </row>
    <row r="908" spans="1:2" ht="15.75" customHeight="1">
      <c r="A908" s="48"/>
      <c r="B908" s="48"/>
    </row>
    <row r="909" spans="1:2" ht="15.75" customHeight="1">
      <c r="A909" s="48"/>
      <c r="B909" s="48"/>
    </row>
    <row r="910" spans="1:2" ht="15.75" customHeight="1">
      <c r="A910" s="48"/>
      <c r="B910" s="48"/>
    </row>
    <row r="911" spans="1:2" ht="15.75" customHeight="1">
      <c r="A911" s="48"/>
      <c r="B911" s="48"/>
    </row>
    <row r="912" spans="1:2" ht="15.75" customHeight="1">
      <c r="A912" s="48"/>
      <c r="B912" s="48"/>
    </row>
    <row r="913" spans="1:2" ht="15.75" customHeight="1">
      <c r="A913" s="48"/>
      <c r="B913" s="48"/>
    </row>
    <row r="914" spans="1:2" ht="15.75" customHeight="1">
      <c r="A914" s="48"/>
      <c r="B914" s="48"/>
    </row>
    <row r="915" spans="1:2" ht="15.75" customHeight="1">
      <c r="A915" s="48"/>
      <c r="B915" s="48"/>
    </row>
    <row r="916" spans="1:2" ht="15.75" customHeight="1">
      <c r="A916" s="48"/>
      <c r="B916" s="48"/>
    </row>
    <row r="917" spans="1:2" ht="15.75" customHeight="1">
      <c r="A917" s="48"/>
      <c r="B917" s="48"/>
    </row>
    <row r="918" spans="1:2" ht="15.75" customHeight="1">
      <c r="A918" s="48"/>
      <c r="B918" s="48"/>
    </row>
    <row r="919" spans="1:2" ht="15.75" customHeight="1">
      <c r="A919" s="48"/>
      <c r="B919" s="48"/>
    </row>
    <row r="920" spans="1:2" ht="15.75" customHeight="1">
      <c r="A920" s="48"/>
      <c r="B920" s="48"/>
    </row>
    <row r="921" spans="1:2" ht="15.75" customHeight="1">
      <c r="A921" s="48"/>
      <c r="B921" s="48"/>
    </row>
    <row r="922" spans="1:2" ht="15.75" customHeight="1">
      <c r="A922" s="48"/>
      <c r="B922" s="48"/>
    </row>
    <row r="923" spans="1:2" ht="15.75" customHeight="1">
      <c r="A923" s="48"/>
      <c r="B923" s="48"/>
    </row>
    <row r="924" spans="1:2" ht="15.75" customHeight="1">
      <c r="A924" s="48"/>
      <c r="B924" s="48"/>
    </row>
    <row r="925" spans="1:2" ht="15.75" customHeight="1">
      <c r="A925" s="48"/>
      <c r="B925" s="48"/>
    </row>
    <row r="926" spans="1:2" ht="15.75" customHeight="1">
      <c r="A926" s="48"/>
      <c r="B926" s="48"/>
    </row>
    <row r="927" spans="1:2" ht="15.75" customHeight="1">
      <c r="A927" s="48"/>
      <c r="B927" s="48"/>
    </row>
    <row r="928" spans="1:2" ht="15.75" customHeight="1">
      <c r="A928" s="48"/>
      <c r="B928" s="48"/>
    </row>
    <row r="929" spans="1:2" ht="15.75" customHeight="1">
      <c r="A929" s="48"/>
      <c r="B929" s="48"/>
    </row>
    <row r="930" spans="1:2" ht="15.75" customHeight="1">
      <c r="A930" s="48"/>
      <c r="B930" s="48"/>
    </row>
    <row r="931" spans="1:2" ht="15.75" customHeight="1">
      <c r="A931" s="48"/>
      <c r="B931" s="48"/>
    </row>
    <row r="932" spans="1:2" ht="15.75" customHeight="1">
      <c r="A932" s="48"/>
      <c r="B932" s="48"/>
    </row>
    <row r="933" spans="1:2" ht="15.75" customHeight="1">
      <c r="A933" s="48"/>
      <c r="B933" s="48"/>
    </row>
    <row r="934" spans="1:2" ht="15.75" customHeight="1">
      <c r="A934" s="48"/>
      <c r="B934" s="48"/>
    </row>
    <row r="935" spans="1:2" ht="15.75" customHeight="1">
      <c r="A935" s="48"/>
      <c r="B935" s="48"/>
    </row>
    <row r="936" spans="1:2" ht="15.75" customHeight="1">
      <c r="A936" s="48"/>
      <c r="B936" s="48"/>
    </row>
    <row r="937" spans="1:2" ht="15.75" customHeight="1">
      <c r="A937" s="48"/>
      <c r="B937" s="48"/>
    </row>
    <row r="938" spans="1:2" ht="15.75" customHeight="1">
      <c r="A938" s="48"/>
      <c r="B938" s="48"/>
    </row>
    <row r="939" spans="1:2" ht="15.75" customHeight="1">
      <c r="A939" s="48"/>
      <c r="B939" s="48"/>
    </row>
    <row r="940" spans="1:2" ht="15.75" customHeight="1">
      <c r="A940" s="48"/>
      <c r="B940" s="48"/>
    </row>
    <row r="941" spans="1:2" ht="15.75" customHeight="1">
      <c r="A941" s="48"/>
      <c r="B941" s="48"/>
    </row>
    <row r="942" spans="1:2" ht="15.75" customHeight="1">
      <c r="A942" s="48"/>
      <c r="B942" s="48"/>
    </row>
    <row r="943" spans="1:2" ht="15.75" customHeight="1">
      <c r="A943" s="48"/>
      <c r="B943" s="48"/>
    </row>
    <row r="944" spans="1:2" ht="15.75" customHeight="1">
      <c r="A944" s="48"/>
      <c r="B944" s="48"/>
    </row>
    <row r="945" spans="1:2" ht="15.75" customHeight="1">
      <c r="A945" s="48"/>
      <c r="B945" s="48"/>
    </row>
    <row r="946" spans="1:2" ht="15.75" customHeight="1">
      <c r="A946" s="48"/>
      <c r="B946" s="48"/>
    </row>
    <row r="947" spans="1:2" ht="15.75" customHeight="1">
      <c r="A947" s="48"/>
      <c r="B947" s="48"/>
    </row>
    <row r="948" spans="1:2" ht="15.75" customHeight="1">
      <c r="A948" s="48"/>
      <c r="B948" s="48"/>
    </row>
    <row r="949" spans="1:2" ht="15.75" customHeight="1">
      <c r="A949" s="48"/>
      <c r="B949" s="48"/>
    </row>
    <row r="950" spans="1:2" ht="15.75" customHeight="1">
      <c r="A950" s="48"/>
      <c r="B950" s="48"/>
    </row>
    <row r="951" spans="1:2" ht="15.75" customHeight="1">
      <c r="A951" s="48"/>
      <c r="B951" s="48"/>
    </row>
    <row r="952" spans="1:2" ht="15.75" customHeight="1">
      <c r="A952" s="48"/>
      <c r="B952" s="48"/>
    </row>
    <row r="953" spans="1:2" ht="15.75" customHeight="1">
      <c r="A953" s="48"/>
      <c r="B953" s="48"/>
    </row>
    <row r="954" spans="1:2" ht="15.75" customHeight="1">
      <c r="A954" s="48"/>
      <c r="B954" s="48"/>
    </row>
    <row r="955" spans="1:2" ht="15.75" customHeight="1">
      <c r="A955" s="48"/>
      <c r="B955" s="48"/>
    </row>
    <row r="956" spans="1:2" ht="15.75" customHeight="1">
      <c r="A956" s="48"/>
      <c r="B956" s="48"/>
    </row>
    <row r="957" spans="1:2" ht="15.75" customHeight="1">
      <c r="A957" s="48"/>
      <c r="B957" s="48"/>
    </row>
    <row r="958" spans="1:2" ht="15.75" customHeight="1">
      <c r="A958" s="48"/>
      <c r="B958" s="48"/>
    </row>
    <row r="959" spans="1:2" ht="15.75" customHeight="1">
      <c r="A959" s="48"/>
      <c r="B959" s="48"/>
    </row>
    <row r="960" spans="1:2" ht="15.75" customHeight="1">
      <c r="A960" s="48"/>
      <c r="B960" s="48"/>
    </row>
    <row r="961" spans="1:2" ht="15.75" customHeight="1">
      <c r="A961" s="48"/>
      <c r="B961" s="48"/>
    </row>
    <row r="962" spans="1:2" ht="15.75" customHeight="1">
      <c r="A962" s="48"/>
      <c r="B962" s="48"/>
    </row>
    <row r="963" spans="1:2" ht="15.75" customHeight="1">
      <c r="A963" s="48"/>
      <c r="B963" s="48"/>
    </row>
    <row r="964" spans="1:2" ht="15.75" customHeight="1">
      <c r="A964" s="48"/>
      <c r="B964" s="48"/>
    </row>
    <row r="965" spans="1:2" ht="15.75" customHeight="1">
      <c r="A965" s="48"/>
      <c r="B965" s="48"/>
    </row>
    <row r="966" spans="1:2" ht="15.75" customHeight="1">
      <c r="A966" s="48"/>
      <c r="B966" s="48"/>
    </row>
    <row r="967" spans="1:2" ht="15.75" customHeight="1">
      <c r="A967" s="48"/>
      <c r="B967" s="48"/>
    </row>
    <row r="968" spans="1:2" ht="15.75" customHeight="1">
      <c r="A968" s="48"/>
      <c r="B968" s="48"/>
    </row>
    <row r="969" spans="1:2" ht="15.75" customHeight="1">
      <c r="A969" s="48"/>
      <c r="B969" s="48"/>
    </row>
    <row r="970" spans="1:2" ht="15.75" customHeight="1">
      <c r="A970" s="48"/>
      <c r="B970" s="48"/>
    </row>
    <row r="971" spans="1:2" ht="15.75" customHeight="1">
      <c r="A971" s="48"/>
      <c r="B971" s="48"/>
    </row>
    <row r="972" spans="1:2" ht="15.75" customHeight="1">
      <c r="A972" s="48"/>
      <c r="B972" s="48"/>
    </row>
    <row r="973" spans="1:2" ht="15.75" customHeight="1">
      <c r="A973" s="48"/>
      <c r="B973" s="48"/>
    </row>
    <row r="974" spans="1:2" ht="15.75" customHeight="1">
      <c r="A974" s="48"/>
      <c r="B974" s="48"/>
    </row>
    <row r="975" spans="1:2" ht="15.75" customHeight="1">
      <c r="A975" s="48"/>
      <c r="B975" s="48"/>
    </row>
    <row r="976" spans="1:2" ht="15.75" customHeight="1">
      <c r="A976" s="48"/>
      <c r="B976" s="48"/>
    </row>
    <row r="977" spans="1:2" ht="15.75" customHeight="1">
      <c r="A977" s="48"/>
      <c r="B977" s="48"/>
    </row>
    <row r="978" spans="1:2" ht="15.75" customHeight="1">
      <c r="A978" s="48"/>
      <c r="B978" s="48"/>
    </row>
    <row r="979" spans="1:2" ht="15.75" customHeight="1">
      <c r="A979" s="48"/>
      <c r="B979" s="48"/>
    </row>
    <row r="980" spans="1:2" ht="15.75" customHeight="1">
      <c r="A980" s="48"/>
      <c r="B980" s="48"/>
    </row>
    <row r="981" spans="1:2" ht="15.75" customHeight="1">
      <c r="A981" s="48"/>
      <c r="B981" s="48"/>
    </row>
    <row r="982" spans="1:2" ht="15.75" customHeight="1">
      <c r="A982" s="48"/>
      <c r="B982" s="48"/>
    </row>
    <row r="983" spans="1:2" ht="15.75" customHeight="1">
      <c r="A983" s="48"/>
      <c r="B983" s="48"/>
    </row>
    <row r="984" spans="1:2" ht="15.75" customHeight="1">
      <c r="A984" s="48"/>
      <c r="B984" s="48"/>
    </row>
    <row r="985" spans="1:2" ht="15.75" customHeight="1">
      <c r="A985" s="48"/>
      <c r="B985" s="48"/>
    </row>
    <row r="986" spans="1:2" ht="15.75" customHeight="1">
      <c r="A986" s="48"/>
      <c r="B986" s="48"/>
    </row>
    <row r="987" spans="1:2" ht="15.75" customHeight="1">
      <c r="A987" s="48"/>
      <c r="B987" s="48"/>
    </row>
    <row r="988" spans="1:2" ht="15.75" customHeight="1">
      <c r="A988" s="48"/>
      <c r="B988" s="48"/>
    </row>
    <row r="989" spans="1:2" ht="15.75" customHeight="1">
      <c r="A989" s="48"/>
      <c r="B989" s="48"/>
    </row>
    <row r="990" spans="1:2" ht="15.75" customHeight="1">
      <c r="A990" s="48"/>
      <c r="B990" s="48"/>
    </row>
    <row r="991" spans="1:2" ht="15.75" customHeight="1">
      <c r="A991" s="48"/>
      <c r="B991" s="48"/>
    </row>
    <row r="992" spans="1:2" ht="15.75" customHeight="1">
      <c r="A992" s="48"/>
      <c r="B992" s="48"/>
    </row>
    <row r="993" spans="1:2" ht="15.75" customHeight="1">
      <c r="A993" s="48"/>
      <c r="B993" s="48"/>
    </row>
    <row r="994" spans="1:2" ht="15.75" customHeight="1">
      <c r="A994" s="48"/>
      <c r="B994" s="48"/>
    </row>
    <row r="995" spans="1:2" ht="15.75" customHeight="1">
      <c r="A995" s="48"/>
      <c r="B995" s="48"/>
    </row>
    <row r="996" spans="1:2" ht="15.75" customHeight="1">
      <c r="A996" s="48"/>
      <c r="B996" s="48"/>
    </row>
    <row r="997" spans="1:2" ht="15.75" customHeight="1">
      <c r="A997" s="48"/>
      <c r="B997" s="48"/>
    </row>
    <row r="998" spans="1:2" ht="15.75" customHeight="1">
      <c r="A998" s="48"/>
      <c r="B998" s="48"/>
    </row>
  </sheetData>
  <mergeCells count="33">
    <mergeCell ref="BB2:BB4"/>
    <mergeCell ref="A3:A4"/>
    <mergeCell ref="B3:B4"/>
    <mergeCell ref="C3:C4"/>
    <mergeCell ref="D3:D4"/>
    <mergeCell ref="E3:E4"/>
    <mergeCell ref="F3:G3"/>
    <mergeCell ref="H3:I3"/>
    <mergeCell ref="O3:O4"/>
    <mergeCell ref="P3:P4"/>
    <mergeCell ref="Q3:R3"/>
    <mergeCell ref="AA1:AI2"/>
    <mergeCell ref="AR3:AS3"/>
    <mergeCell ref="A1:B1"/>
    <mergeCell ref="A2:B2"/>
    <mergeCell ref="C2:D2"/>
    <mergeCell ref="Z3:Z4"/>
    <mergeCell ref="F1:T1"/>
    <mergeCell ref="S3:S4"/>
    <mergeCell ref="T3:T4"/>
    <mergeCell ref="U1:Z2"/>
    <mergeCell ref="U3:Y3"/>
    <mergeCell ref="M3:N3"/>
    <mergeCell ref="L3:L4"/>
    <mergeCell ref="K3:K4"/>
    <mergeCell ref="AT3:AT4"/>
    <mergeCell ref="AU3:AZ3"/>
    <mergeCell ref="BA3:BA4"/>
    <mergeCell ref="AA3:AH3"/>
    <mergeCell ref="AI3:AI4"/>
    <mergeCell ref="AJ3:AJ4"/>
    <mergeCell ref="AQ2:AQ4"/>
    <mergeCell ref="AK2:AP3"/>
  </mergeCells>
  <conditionalFormatting sqref="Z5:Z24 AI5:AJ24 AQ5:AQ24">
    <cfRule type="cellIs" dxfId="2" priority="5" operator="greaterThan">
      <formula>100%</formula>
    </cfRule>
  </conditionalFormatting>
  <conditionalFormatting sqref="AT5:AT26">
    <cfRule type="cellIs" dxfId="1" priority="2" operator="greaterThan">
      <formula>1</formula>
    </cfRule>
  </conditionalFormatting>
  <conditionalFormatting sqref="BA5:BA26">
    <cfRule type="cellIs" dxfId="0" priority="1" operator="greaterThan">
      <formula>100%</formula>
    </cfRule>
  </conditionalFormatting>
  <dataValidations count="4">
    <dataValidation type="decimal" allowBlank="1" showErrorMessage="1" sqref="F5:I24 K5:N24" xr:uid="{00000000-0002-0000-0200-000001000000}">
      <formula1>0</formula1>
      <formula2>1</formula2>
    </dataValidation>
    <dataValidation type="list" allowBlank="1" showErrorMessage="1" sqref="J5:J24" xr:uid="{751C38B4-C376-4F3F-92FA-9B66203AC4BC}">
      <formula1>"Office,Remote,Hybrid"</formula1>
    </dataValidation>
    <dataValidation type="list" allowBlank="1" showErrorMessage="1" sqref="D5:D24" xr:uid="{00000000-0002-0000-0200-000000000000}">
      <formula1>"Active recruitment,Not recruiting,Seasonal recruitment only"</formula1>
    </dataValidation>
    <dataValidation type="decimal" operator="greaterThanOrEqual" allowBlank="1" showErrorMessage="1" sqref="E5:E24 R5:R24 O5:P24 AR5:AS5" xr:uid="{00000000-0002-0000-0200-000003000000}">
      <formula1>0</formula1>
    </dataValidation>
  </dataValidations>
  <pageMargins left="0.5" right="0.5" top="0.5" bottom="0.5" header="0" footer="0"/>
  <pageSetup orientation="landscape" r:id="rId1"/>
  <headerFooter>
    <oddFooter>&amp;R&amp;"Calibri,Regular"&amp;K000000&amp;P/&amp;N</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200-000006000000}">
          <x14:formula1>
            <xm:f>'Instructions &amp; Options'!$B$4:$B$51</xm:f>
          </x14:formula1>
          <xm:sqref>AK5:AK24 AM5:AM24 AO5:AO24</xm:sqref>
        </x14:dataValidation>
        <x14:dataValidation type="list" allowBlank="1" showErrorMessage="1" xr:uid="{03C8BA63-7059-40CD-B412-FD338593A47F}">
          <x14:formula1>
            <xm:f>'Instructions &amp; Options'!$C$4:$C$15</xm:f>
          </x14:formula1>
          <xm:sqref>AU5:AU26 AW5:AW26 AY5:AY26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election sqref="A1:E1"/>
    </sheetView>
  </sheetViews>
  <sheetFormatPr defaultColWidth="11.09765625" defaultRowHeight="154.5" customHeight="1"/>
  <cols>
    <col min="1" max="1" width="22" style="77" customWidth="1"/>
    <col min="2" max="2" width="21.3984375" style="77" customWidth="1"/>
    <col min="3" max="3" width="20.5" style="77" customWidth="1"/>
    <col min="4" max="4" width="27.09765625" style="77" customWidth="1"/>
    <col min="5" max="5" width="22.59765625" style="77" customWidth="1"/>
    <col min="6" max="26" width="10.5" style="77" customWidth="1"/>
    <col min="27" max="16384" width="11.09765625" style="77"/>
  </cols>
  <sheetData>
    <row r="1" spans="1:5" ht="168" customHeight="1">
      <c r="A1" s="251" t="s">
        <v>162</v>
      </c>
      <c r="B1" s="252"/>
      <c r="C1" s="252"/>
      <c r="D1" s="252"/>
      <c r="E1" s="253"/>
    </row>
    <row r="2" spans="1:5" ht="61.5" customHeight="1">
      <c r="A2" s="254" t="s">
        <v>163</v>
      </c>
      <c r="B2" s="252"/>
      <c r="C2" s="252"/>
      <c r="D2" s="252"/>
      <c r="E2" s="253"/>
    </row>
    <row r="3" spans="1:5" ht="27.75" customHeight="1">
      <c r="A3" s="78" t="s">
        <v>36</v>
      </c>
      <c r="B3" s="79" t="s">
        <v>37</v>
      </c>
      <c r="C3" s="79" t="s">
        <v>38</v>
      </c>
      <c r="D3" s="79" t="s">
        <v>39</v>
      </c>
      <c r="E3" s="80" t="s">
        <v>40</v>
      </c>
    </row>
    <row r="4" spans="1:5" ht="154.5" customHeight="1">
      <c r="A4" s="81" t="s">
        <v>76</v>
      </c>
      <c r="B4" s="81" t="s">
        <v>77</v>
      </c>
      <c r="C4" s="81" t="s">
        <v>78</v>
      </c>
      <c r="D4" s="81" t="s">
        <v>79</v>
      </c>
      <c r="E4" s="81" t="s">
        <v>80</v>
      </c>
    </row>
    <row r="5" spans="1:5" ht="116.25" customHeight="1">
      <c r="A5" s="81" t="s">
        <v>81</v>
      </c>
      <c r="B5" s="81" t="s">
        <v>82</v>
      </c>
      <c r="C5" s="81" t="s">
        <v>83</v>
      </c>
      <c r="D5" s="81" t="s">
        <v>84</v>
      </c>
      <c r="E5" s="82" t="s">
        <v>85</v>
      </c>
    </row>
    <row r="6" spans="1:5" ht="140.1" customHeight="1">
      <c r="A6" s="81" t="s">
        <v>86</v>
      </c>
      <c r="B6" s="81" t="s">
        <v>87</v>
      </c>
      <c r="C6" s="81" t="s">
        <v>88</v>
      </c>
      <c r="D6" s="81" t="s">
        <v>89</v>
      </c>
      <c r="E6" s="81" t="s">
        <v>90</v>
      </c>
    </row>
    <row r="7" spans="1:5" ht="154.5" customHeight="1">
      <c r="A7" s="81" t="s">
        <v>91</v>
      </c>
      <c r="B7" s="81" t="s">
        <v>92</v>
      </c>
      <c r="C7" s="82" t="s">
        <v>93</v>
      </c>
      <c r="D7" s="81" t="s">
        <v>94</v>
      </c>
      <c r="E7" s="82" t="s">
        <v>95</v>
      </c>
    </row>
    <row r="8" spans="1:5" ht="149.1" customHeight="1">
      <c r="A8" s="81" t="s">
        <v>96</v>
      </c>
      <c r="B8" s="81" t="s">
        <v>97</v>
      </c>
      <c r="C8" s="82" t="s">
        <v>98</v>
      </c>
      <c r="D8" s="81" t="s">
        <v>99</v>
      </c>
      <c r="E8" s="81" t="s">
        <v>100</v>
      </c>
    </row>
    <row r="9" spans="1:5" ht="102" customHeight="1">
      <c r="A9" s="83"/>
      <c r="B9" s="83"/>
      <c r="C9" s="83"/>
      <c r="D9" s="81" t="s">
        <v>101</v>
      </c>
      <c r="E9" s="83"/>
    </row>
  </sheetData>
  <mergeCells count="2">
    <mergeCell ref="A1:E1"/>
    <mergeCell ref="A2:E2"/>
  </mergeCells>
  <pageMargins left="0.5" right="0.5" top="0.5" bottom="0.5" header="0" footer="0"/>
  <pageSetup orientation="landscape" r:id="rId1"/>
  <headerFooter>
    <oddHeader>&amp;L&amp;"Calibri,Regular"&amp;K000000Guidance for FPHS AREAS</oddHeader>
    <oddFooter>&amp;R&amp;"Calibri,Regular"&amp;K000000&amp;P/&amp;N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view="pageBreakPreview" zoomScale="60" zoomScaleNormal="100" workbookViewId="0">
      <selection activeCell="A3" sqref="A3"/>
    </sheetView>
  </sheetViews>
  <sheetFormatPr defaultColWidth="11.09765625" defaultRowHeight="15" customHeight="1"/>
  <cols>
    <col min="1" max="1" width="15.59765625" style="77" customWidth="1"/>
    <col min="2" max="2" width="10.5" style="77" customWidth="1"/>
    <col min="3" max="3" width="16.09765625" style="77" customWidth="1"/>
    <col min="4" max="4" width="13" style="77" customWidth="1"/>
    <col min="5" max="5" width="12.59765625" style="77" customWidth="1"/>
    <col min="6" max="6" width="24" style="77" customWidth="1"/>
    <col min="7" max="7" width="14.59765625" style="77" customWidth="1"/>
    <col min="8" max="8" width="12.59765625" style="77" customWidth="1"/>
    <col min="9" max="26" width="10.5" style="77" customWidth="1"/>
    <col min="27" max="16384" width="11.09765625" style="77"/>
  </cols>
  <sheetData>
    <row r="1" spans="1:8" ht="156" customHeight="1">
      <c r="A1" s="251" t="s">
        <v>162</v>
      </c>
      <c r="B1" s="255"/>
      <c r="C1" s="255"/>
      <c r="D1" s="255"/>
      <c r="E1" s="255"/>
      <c r="F1" s="255"/>
      <c r="G1" s="255"/>
      <c r="H1" s="256"/>
    </row>
    <row r="2" spans="1:8" ht="60.75" customHeight="1">
      <c r="A2" s="254" t="s">
        <v>164</v>
      </c>
      <c r="B2" s="252"/>
      <c r="C2" s="252"/>
      <c r="D2" s="252"/>
      <c r="E2" s="252"/>
      <c r="F2" s="252"/>
      <c r="G2" s="252"/>
      <c r="H2" s="253"/>
    </row>
    <row r="3" spans="1:8" s="136" customFormat="1" ht="55.5" customHeight="1">
      <c r="A3" s="84" t="s">
        <v>41</v>
      </c>
      <c r="B3" s="85" t="s">
        <v>42</v>
      </c>
      <c r="C3" s="85" t="s">
        <v>43</v>
      </c>
      <c r="D3" s="85" t="s">
        <v>44</v>
      </c>
      <c r="E3" s="85" t="s">
        <v>45</v>
      </c>
      <c r="F3" s="85" t="s">
        <v>46</v>
      </c>
      <c r="G3" s="85" t="s">
        <v>47</v>
      </c>
      <c r="H3" s="135" t="s">
        <v>102</v>
      </c>
    </row>
    <row r="4" spans="1:8" ht="186" customHeight="1">
      <c r="A4" s="86" t="s">
        <v>103</v>
      </c>
      <c r="B4" s="86" t="s">
        <v>104</v>
      </c>
      <c r="C4" s="86" t="s">
        <v>105</v>
      </c>
      <c r="D4" s="86" t="s">
        <v>106</v>
      </c>
      <c r="E4" s="86" t="s">
        <v>107</v>
      </c>
      <c r="F4" s="86" t="s">
        <v>108</v>
      </c>
      <c r="G4" s="86" t="s">
        <v>109</v>
      </c>
      <c r="H4" s="86" t="s">
        <v>110</v>
      </c>
    </row>
    <row r="5" spans="1:8" ht="353.1" customHeight="1">
      <c r="A5" s="86" t="s">
        <v>111</v>
      </c>
      <c r="B5" s="86" t="s">
        <v>112</v>
      </c>
      <c r="C5" s="86" t="s">
        <v>113</v>
      </c>
      <c r="D5" s="86" t="s">
        <v>124</v>
      </c>
      <c r="E5" s="87"/>
      <c r="F5" s="86" t="s">
        <v>114</v>
      </c>
      <c r="G5" s="88" t="s">
        <v>115</v>
      </c>
      <c r="H5" s="86" t="s">
        <v>116</v>
      </c>
    </row>
    <row r="6" spans="1:8" ht="185.1" customHeight="1">
      <c r="A6" s="86" t="s">
        <v>117</v>
      </c>
      <c r="B6" s="87"/>
      <c r="C6" s="87"/>
      <c r="D6" s="87"/>
      <c r="E6" s="87"/>
      <c r="F6" s="86" t="s">
        <v>118</v>
      </c>
      <c r="G6" s="86" t="s">
        <v>119</v>
      </c>
      <c r="H6" s="87"/>
    </row>
    <row r="7" spans="1:8" ht="186" customHeight="1">
      <c r="A7" s="86" t="s">
        <v>120</v>
      </c>
      <c r="B7" s="87"/>
      <c r="C7" s="87"/>
      <c r="D7" s="87"/>
      <c r="E7" s="87"/>
      <c r="F7" s="87"/>
      <c r="G7" s="86" t="s">
        <v>121</v>
      </c>
      <c r="H7" s="87"/>
    </row>
    <row r="8" spans="1:8" ht="180" customHeight="1">
      <c r="A8" s="86" t="s">
        <v>122</v>
      </c>
      <c r="B8" s="87"/>
      <c r="C8" s="87"/>
      <c r="D8" s="87"/>
      <c r="E8" s="87"/>
      <c r="F8" s="87"/>
      <c r="G8" s="86" t="s">
        <v>123</v>
      </c>
      <c r="H8" s="87"/>
    </row>
  </sheetData>
  <mergeCells count="2">
    <mergeCell ref="A1:H1"/>
    <mergeCell ref="A2:H2"/>
  </mergeCells>
  <pageMargins left="0.25" right="0.25" top="0.75" bottom="0.75" header="0.3" footer="0.3"/>
  <pageSetup scale="98" orientation="landscape" r:id="rId1"/>
  <headerFooter>
    <oddHeader>&amp;L&amp;"Calibri,Regular"&amp;K000000Guidance FPHS CAPABILITIES</oddHeader>
    <oddFooter>&amp;R&amp;"Calibri,Regular"&amp;K000000&amp;P/&amp;N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Instructions &amp; Options</vt:lpstr>
      <vt:lpstr>Dept X Workforce Assessment</vt:lpstr>
      <vt:lpstr>Vacancies Documentation</vt:lpstr>
      <vt:lpstr>Guidance FPHS AREAS</vt:lpstr>
      <vt:lpstr>Guidance FPHS CAPABILITIES</vt:lpstr>
      <vt:lpstr>'Instructions &amp; Options'!Print_Area</vt:lpstr>
      <vt:lpstr>'Dept X Workforce Assessment'!Print_Titles</vt:lpstr>
      <vt:lpstr>'Guidance FPHS AREAS'!Print_Titles</vt:lpstr>
      <vt:lpstr>'Guidance FPHS CAPABILITIES'!Print_Titles</vt:lpstr>
      <vt:lpstr>'Vacancies Documentation'!Print_Titles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Drenda Niemann</cp:lastModifiedBy>
  <cp:lastPrinted>2025-06-17T20:01:19Z</cp:lastPrinted>
  <dcterms:created xsi:type="dcterms:W3CDTF">2022-08-15T16:30:57Z</dcterms:created>
  <dcterms:modified xsi:type="dcterms:W3CDTF">2025-07-30T15:54:10Z</dcterms:modified>
</cp:coreProperties>
</file>